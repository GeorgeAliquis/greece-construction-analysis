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ΠΙΝ1" sheetId="1" state="visible" r:id="rId3"/>
    <sheet name="ΕΛ" sheetId="2" state="visible" r:id="rId4"/>
  </sheets>
  <definedNames>
    <definedName function="false" hidden="true" localSheetId="1" name="_xlnm._FilterDatabase" vbProcedure="false">ΕΛ!$B$1:$E$15</definedName>
    <definedName function="false" hidden="false" localSheetId="0" name="_xlnm.Print_Area" vbProcedure="false">ΠΙΝ1!$A$1:$F$95</definedName>
    <definedName function="false" hidden="false" localSheetId="0" name="_xlnm.Print_Titles" vbProcedure="false">ΠΙΝ1!$1:$7</definedName>
    <definedName function="false" hidden="false" localSheetId="0" name="Excel_BuiltIn__FilterDatabase" vbProcedure="false">ΠΙΝ1!$A$8:$F$95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<sst xmlns="http://schemas.openxmlformats.org/spreadsheetml/2006/main" count="208" uniqueCount="194">
  <si>
    <t xml:space="preserve">Πίνακας 1. Νέες οικοδομές, όροφοι, όγκος και επιφάνεια αυτών, κατά περιφέρεια και περιφερειακή ενότητα </t>
  </si>
  <si>
    <t xml:space="preserve">Ιούνιος    2026</t>
  </si>
  <si>
    <t xml:space="preserve">Table 1. New built-properties, storeys, volume and surface thereon, by region and regional unit </t>
  </si>
  <si>
    <t xml:space="preserve">June  2026</t>
  </si>
  <si>
    <r>
      <rPr>
        <sz val="11"/>
        <color rgb="FF000000"/>
        <rFont val="Calibri"/>
        <family val="2"/>
        <charset val="161"/>
      </rPr>
      <t xml:space="preserve">Όγκος σε μ</t>
    </r>
    <r>
      <rPr>
        <vertAlign val="superscript"/>
        <sz val="11"/>
        <color rgb="FF000000"/>
        <rFont val="Calibri"/>
        <family val="2"/>
        <charset val="161"/>
      </rPr>
      <t xml:space="preserve">3</t>
    </r>
    <r>
      <rPr>
        <sz val="11"/>
        <color rgb="FF000000"/>
        <rFont val="Calibri"/>
        <family val="2"/>
        <charset val="161"/>
      </rPr>
      <t xml:space="preserve">, επιφάνεια σε μ</t>
    </r>
    <r>
      <rPr>
        <vertAlign val="superscript"/>
        <sz val="11"/>
        <color rgb="FF000000"/>
        <rFont val="Calibri"/>
        <family val="2"/>
        <charset val="161"/>
      </rPr>
      <t xml:space="preserve">2</t>
    </r>
    <r>
      <rPr>
        <sz val="11"/>
        <color rgb="FF000000"/>
        <rFont val="Calibri"/>
        <family val="2"/>
        <charset val="161"/>
      </rPr>
      <t xml:space="preserve"> </t>
    </r>
  </si>
  <si>
    <r>
      <rPr>
        <sz val="11"/>
        <color rgb="FF000000"/>
        <rFont val="Calibri"/>
        <family val="2"/>
        <charset val="161"/>
      </rPr>
      <t xml:space="preserve">                        Volume in m</t>
    </r>
    <r>
      <rPr>
        <vertAlign val="superscript"/>
        <sz val="11"/>
        <color rgb="FF000000"/>
        <rFont val="Calibri"/>
        <family val="2"/>
        <charset val="161"/>
      </rPr>
      <t xml:space="preserve">3</t>
    </r>
    <r>
      <rPr>
        <sz val="11"/>
        <color rgb="FF000000"/>
        <rFont val="Calibri"/>
        <family val="2"/>
        <charset val="161"/>
      </rPr>
      <t xml:space="preserve">, surface in m</t>
    </r>
    <r>
      <rPr>
        <vertAlign val="superscript"/>
        <sz val="11"/>
        <color rgb="FF000000"/>
        <rFont val="Calibri"/>
        <family val="2"/>
        <charset val="161"/>
      </rPr>
      <t xml:space="preserve">2</t>
    </r>
  </si>
  <si>
    <t xml:space="preserve">Περιφέρεια και Περιφερειακή Ενότητα </t>
  </si>
  <si>
    <t xml:space="preserve">Αριθμός</t>
  </si>
  <si>
    <t xml:space="preserve">Όροφοι</t>
  </si>
  <si>
    <t xml:space="preserve">Όγκος</t>
  </si>
  <si>
    <t xml:space="preserve">Επιφάνεια</t>
  </si>
  <si>
    <t xml:space="preserve"> Region and Regional Unit</t>
  </si>
  <si>
    <t xml:space="preserve">Category</t>
  </si>
  <si>
    <t xml:space="preserve">Σύνολο Χώρας </t>
  </si>
  <si>
    <t xml:space="preserve"> Greece, Total</t>
  </si>
  <si>
    <t xml:space="preserve">ΠΕΡΙΦΕΡΕΙΑ ΑΤΤΙΚΗΣ </t>
  </si>
  <si>
    <t xml:space="preserve">REGION OF ATTIKI</t>
  </si>
  <si>
    <t xml:space="preserve">ΠΕΡΙΦΕΡΕΙΑΚΗ ΕΝΟΤΗΤΑ ΚΕΝΤΡΙΚΟΥ ΤΟΜΕΑ ΑΘΗΝΩΝ</t>
  </si>
  <si>
    <t xml:space="preserve">REGIONAL UNIT OF KENTRIKOS TOMEAS ATHINON
 (CENTRAL SECTOR OF ATHENS)</t>
  </si>
  <si>
    <t xml:space="preserve">ΠΕΡΙΦΕΡΕΙΑΚΗ ΕΝΟΤΗΤΑ ΒΟΡΕΙΟΥ ΤΟΜΕΑ ΑΘΗΝΩΝ</t>
  </si>
  <si>
    <t xml:space="preserve">REGIONAL UNIT OF VOREIOS TOMEAS ATHINON
 (NORTH SECTOR OF ATHENS)</t>
  </si>
  <si>
    <t xml:space="preserve">ΠΕΡΙΦΕΡΕΙΑΚΗ ΕΝΟΤΗΤΑ ΔΥΤΙΚΟΥ ΤΟΜΕΑ ΑΘΗΝΩΝ</t>
  </si>
  <si>
    <t xml:space="preserve">REGIONAL UNIT OF DYTIKOS TOMEAS ATHINON
 (WESTERN SECTOR OF ATHENS)</t>
  </si>
  <si>
    <t xml:space="preserve">ΠΕΡΙΦΕΡΕΙΑΚΗ ΕΝΟΤΗΤΑ ΝΟΤΙΟΥ ΤΟΜΕΑ ΑΘΗΝΩΝ</t>
  </si>
  <si>
    <t xml:space="preserve">REGIONAL UNIT OF NOTIOS TOMEAS ATHINON
 (SOUTH SECTOR OF ATHENS)</t>
  </si>
  <si>
    <t xml:space="preserve">ΠΕΡΙΦΕΡΕΙΑΚΗ ΕΝΟΤΗΤΑ ΑΝΑΤΟΛΙΚΗΣ ΑΤΤΙΚΗΣ</t>
  </si>
  <si>
    <t xml:space="preserve">REGIONAL UNIT OF ANATOLIKI ATTIKI</t>
  </si>
  <si>
    <t xml:space="preserve">ΠΕΡΙΦΕΡΕΙΑΚΗ ΕΝΟΤΗΤΑ ΔΥΤΙΚΗΣ ΑΤΤΙΚΗΣ</t>
  </si>
  <si>
    <t xml:space="preserve">REGIONAL UNIT OF DYTIKI ATTIKI</t>
  </si>
  <si>
    <t xml:space="preserve">ΠΕΡΙΦΕΡΕΙΑΚΗ ΕΝΟΤΗΤΑ ΠΕΙΡΑΙΩΣ</t>
  </si>
  <si>
    <t xml:space="preserve">REGIONAL UNIT OF PIREAS</t>
  </si>
  <si>
    <t xml:space="preserve">ΠΕΡΙΦΕΡΕΙΑΚΗ ΕΝΟΤΗΤΑ ΝΗΣΩΝ</t>
  </si>
  <si>
    <t xml:space="preserve">REGIONAL UNIT OF NISIA (ISLANDS)</t>
  </si>
  <si>
    <t xml:space="preserve">ΠΕΡΙΦΕΡΕΙΑ ΑΝΑΤΟΛΙΚΗΣ ΜΑΚΕΔΟΝΙΑΣ ΚΑΙ ΘΡΑΚΗΣ</t>
  </si>
  <si>
    <t xml:space="preserve">REGION OF ANATOLIKI MAKEDONIA,THRAKI</t>
  </si>
  <si>
    <t xml:space="preserve">ΠΕΡΙΦΕΡΕΙΑΚΗ ΕΝΟΤΗΤΑ ΡΟΔΟΠΗΣ</t>
  </si>
  <si>
    <t xml:space="preserve">REGIONAL UNIT OF RODOPI</t>
  </si>
  <si>
    <t xml:space="preserve">ΠΕΡΙΦΕΡΕΙΑΚΗ ΕΝΟΤΗΤΑ ΔΡΑΜΑΣ</t>
  </si>
  <si>
    <t xml:space="preserve">REGIONAL UNIT OF DRAMA</t>
  </si>
  <si>
    <t xml:space="preserve">ΠΕΡΙΦΕΡΕΙΑΚΗ ΕΝΟΤΗΤΑ ΕΒΡΟΥ</t>
  </si>
  <si>
    <t xml:space="preserve">REGIONAL UNIT OF EVROS</t>
  </si>
  <si>
    <t xml:space="preserve">ΠΕΡΙΦΕΡΕΙΑΚΗ ΕΝΟΤΗΤΑ ΘΑΣΟΥ</t>
  </si>
  <si>
    <t xml:space="preserve">REGIONAL UNIT OF THASOS</t>
  </si>
  <si>
    <t xml:space="preserve">ΠΕΡΙΦΕΡΕΙΑΚΗ ΕΝΟΤΗΤΑ ΚΑΒΑΛΑΣ</t>
  </si>
  <si>
    <t xml:space="preserve">REGIONAL UNIT OF KAVALA</t>
  </si>
  <si>
    <t xml:space="preserve">ΠΕΡΙΦΕΡΕΙΑΚΗ ΕΝΟΤΗΤΑ ΞΑΝΘΗΣ</t>
  </si>
  <si>
    <t xml:space="preserve">REGIONAL UNIT OF XANTHI</t>
  </si>
  <si>
    <t xml:space="preserve">ΠΕΡΙΦΕΡΕΙΑ ΚΕΝΤΡΙΚΗΣ ΜΑΚΕΔΟΝΙΑΣ</t>
  </si>
  <si>
    <t xml:space="preserve">REGION OF KENTRIKI MAKEDONIA</t>
  </si>
  <si>
    <t xml:space="preserve">ΠΕΡΙΦΕΡΕΙΑΚΗ ΕΝΟΤΗΤΑ ΘΕΣΣΑΛΟΝΙΚΗΣ</t>
  </si>
  <si>
    <t xml:space="preserve">REGIONAL UNIT OF THESSALONIKI</t>
  </si>
  <si>
    <t xml:space="preserve">ΠΕΡΙΦΕΡΕΙΑΚΗ ΕΝΟΤΗΤΑ ΗΜΑΘΙΑΣ</t>
  </si>
  <si>
    <t xml:space="preserve">REGIONAL UNIT OF IMATHIA</t>
  </si>
  <si>
    <t xml:space="preserve">ΠΕΡΙΦΕΡΕΙΑΚΗ ΕΝΟΤΗΤΑ ΚΙΛΚΙΣ</t>
  </si>
  <si>
    <t xml:space="preserve">REGIONAL UNIT OF KILKIS</t>
  </si>
  <si>
    <t xml:space="preserve">ΠΕΡΙΦΕΡΕΙΑΚΗ ΕΝΟΤΗΤΑ ΠΕΛΛΑΣ</t>
  </si>
  <si>
    <t xml:space="preserve">REGIONAL UNIT OF PELLA</t>
  </si>
  <si>
    <t xml:space="preserve">ΠΕΡΙΦΕΡΕΙΑΚΗ ΕΝΟΤΗΤΑ ΠΙΕΡΙΑΣ</t>
  </si>
  <si>
    <t xml:space="preserve">REGIONAL UNIT OF PIERIA</t>
  </si>
  <si>
    <t xml:space="preserve">ΠΕΡΙΦΕΡΕΙΑΚΗ ΕΝΟΤΗΤΑ ΣΕΡΡΩΝ</t>
  </si>
  <si>
    <t xml:space="preserve">REGIONAL UNIT OF SERRES</t>
  </si>
  <si>
    <t xml:space="preserve">ΠΕΡΙΦΕΡΕΙΑΚΗ ΕΝΟΤΗΤΑ ΧΑΛΚΙΔΙΚΗΣ</t>
  </si>
  <si>
    <t xml:space="preserve">REGIONAL UNIT OF CHALKIDIKI</t>
  </si>
  <si>
    <t xml:space="preserve">ΠΕΡΙΦΕΡΕΙΑ ΔΥΤΙΚΗΣ ΜΑΚΕΔΟΝΙΑΣ</t>
  </si>
  <si>
    <t xml:space="preserve">REGION OF DYTIKI MAKEDONIA</t>
  </si>
  <si>
    <t xml:space="preserve">ΠΕΡΙΦΕΡΕΙΑΚΗ ΕΝΟΤΗΤΑ ΚΟΖΑΝΗΣ</t>
  </si>
  <si>
    <t xml:space="preserve">REGIONAL UNIT OF KOZANI</t>
  </si>
  <si>
    <t xml:space="preserve">ΠΕΡΙΦΕΡΕΙΑΚΗ ΕΝΟΤΗΤΑ ΓΡΕΒΕΝΩΝ</t>
  </si>
  <si>
    <t xml:space="preserve">REGIONAL UNIT OF GREVENA</t>
  </si>
  <si>
    <t xml:space="preserve">ΠΕΡΙΦΕΡΕΙΑΚΗ ΕΝΟΤΗΤΑ ΚΑΣΤΟΡΙΑΣ</t>
  </si>
  <si>
    <t xml:space="preserve">REGIONAL UNIT OF KASTORIA</t>
  </si>
  <si>
    <t xml:space="preserve">ΠΕΡΙΦΕΡΕΙΑΚΗ ΕΝΟΤΗΤΑ ΦΛΩΡΙΝΑΣ</t>
  </si>
  <si>
    <t xml:space="preserve">REGIONAL UNIT OF FLORINA</t>
  </si>
  <si>
    <t xml:space="preserve">ΠΕΡΙΦΕΡΕΙΑ ΗΠΕΙΡΟΥ</t>
  </si>
  <si>
    <t xml:space="preserve">REGION OF IPEIROS</t>
  </si>
  <si>
    <t xml:space="preserve">ΠΕΡΙΦΕΡΕΙΑΚΗ ΕΝΟΤΗΤΑ ΙΩΑΝΝΙΝΩΝ</t>
  </si>
  <si>
    <t xml:space="preserve">REGIONAL UNIT OF IOANNINA</t>
  </si>
  <si>
    <t xml:space="preserve">ΠΕΡΙΦΕΡΕΙΑΚΗ ΕΝΟΤΗΤΑ ΑΡΤΑΣ</t>
  </si>
  <si>
    <t xml:space="preserve">REGIONAL UNIT OF ARTA</t>
  </si>
  <si>
    <t xml:space="preserve">ΠΕΡΙΦΕΡΕΙΑΚΗ ΕΝΟΤΗΤΑ ΘΕΣΠΡΩΤΙΑΣ</t>
  </si>
  <si>
    <t xml:space="preserve">REGIONAL UNIT OF THESPROTIA</t>
  </si>
  <si>
    <t xml:space="preserve">ΠΕΡΙΦΕΡΕΙΑΚΗ ΕΝΟΤΗΤΑ ΠΡΕΒΕΖΑΣ</t>
  </si>
  <si>
    <t xml:space="preserve">REGIONAL UNIT OF PREVEZA</t>
  </si>
  <si>
    <t xml:space="preserve">ΠΕΡΙΦΕΡΕΙΑ ΘΕΣΣΑΛΙΑΣ</t>
  </si>
  <si>
    <t xml:space="preserve">REGION OF THESSALIA</t>
  </si>
  <si>
    <t xml:space="preserve">ΠΕΡΙΦΕΡΕΙΑΚΗ ΕΝΟΤΗΤΑ ΛΑΡΙΣΑΣ</t>
  </si>
  <si>
    <t xml:space="preserve">REGIONAL UNIT OF LARISA</t>
  </si>
  <si>
    <t xml:space="preserve">ΠΕΡΙΦΕΡΕΙΑΚΗ ΕΝΟΤΗΤΑ ΚΑΡΔΙΤΣΑΣ</t>
  </si>
  <si>
    <t xml:space="preserve">REGIONAL UNIT OF KARDITSA</t>
  </si>
  <si>
    <t xml:space="preserve">ΠΕΡΙΦΕΡΕΙΑΚΗ ΕΝΟΤΗΤΑ ΜΑΓΝΗΣΙΑΣ</t>
  </si>
  <si>
    <t xml:space="preserve">REGIONAL UNIT OF MAGNISIA</t>
  </si>
  <si>
    <t xml:space="preserve">ΠΕΡΙΦΕΡΕΙΑΚΗ ΕΝΟΤΗΤΑ ΣΠΟΡΑΔΩΝ</t>
  </si>
  <si>
    <t xml:space="preserve">REGIONAL UNIT OF SPORADES</t>
  </si>
  <si>
    <t xml:space="preserve">ΠΕΡΙΦΕΡΕΙΑΚΗ ΕΝΟΤΗΤΑ ΤΡΙΚΑΛΩΝ</t>
  </si>
  <si>
    <t xml:space="preserve">REGIONAL UNIT OF TRIKALA</t>
  </si>
  <si>
    <t xml:space="preserve">ΠΕΡΙΦΕΡΕΙΑ ΣΤΕΡΕΑΣ ΕΛΛΑΔΑΣ</t>
  </si>
  <si>
    <t xml:space="preserve">REGION OF STEREA ELLADA</t>
  </si>
  <si>
    <t xml:space="preserve">ΠΕΡΙΦΕΡΕΙΑΚΗ ΕΝΟΤΗΤΑ ΦΘΙΩΤΙΔΑΣ</t>
  </si>
  <si>
    <t xml:space="preserve">REGIONAL UNIT OF FTHIOTIDA</t>
  </si>
  <si>
    <t xml:space="preserve">ΠΕΡΙΦΕΡΕΙΑΚΗ ΕΝΟΤΗΤΑ ΒΟΙΩΤΙΑΣ</t>
  </si>
  <si>
    <t xml:space="preserve">REGIONAL UNIT OF VOIOTIA</t>
  </si>
  <si>
    <t xml:space="preserve">ΠΕΡΙΦΕΡΕΙΑΚΗ ΕΝΟΤΗΤΑ ΕΥΒΟΙΑΣ</t>
  </si>
  <si>
    <t xml:space="preserve">REGIONAL UNIT OF EVOIA</t>
  </si>
  <si>
    <t xml:space="preserve">ΠΕΡΙΦΕΡΕΙΑΚΗ ΕΝΟΤΗΤΑ ΕΥΡΥΤΑΝΙΑΣ</t>
  </si>
  <si>
    <t xml:space="preserve">REGIONAL UNIT OF EVRYTANIA</t>
  </si>
  <si>
    <t xml:space="preserve">ΠΕΡΙΦΕΡΕΙΑΚΗ ΕΝΟΤΗΤΑ ΦΩΚΙΔΑΣ</t>
  </si>
  <si>
    <t xml:space="preserve">REGIONAL UNIT OF FOKIDA</t>
  </si>
  <si>
    <t xml:space="preserve">ΠΕΡΙΦΕΡΕΙΑ ΙΟΝΙΩΝ ΝΗΣΩΝ</t>
  </si>
  <si>
    <t xml:space="preserve">REGION OF IONIA NISIA</t>
  </si>
  <si>
    <t xml:space="preserve">ΠΕΡΙΦΕΡΕΙΑΚΗ ΕΝΟΤΗΤΑ ΚΕΡΚΥΡΑΣ</t>
  </si>
  <si>
    <t xml:space="preserve">REGIONAL UNIT OF KERKYRA</t>
  </si>
  <si>
    <t xml:space="preserve">ΠΕΡΙΦΕΡΕΙΑΚΗ ΕΝΟΤΗΤΑ ΖΑΚΥΝΘΟΥ</t>
  </si>
  <si>
    <t xml:space="preserve">REGIONAL UNIT OF ZAKYNTHOS</t>
  </si>
  <si>
    <t xml:space="preserve">ΠΕΡΙΦΕΡΕΙΑΚΗ ΕΝΟΤΗΤΑ ΙΘΑΚΗΣ</t>
  </si>
  <si>
    <t xml:space="preserve">REGIONAL UNIT OF ITHAKI</t>
  </si>
  <si>
    <t xml:space="preserve">ΠΕΡΙΦΕΡΕΙΑΚΗ ΕΝΟΤΗΤΑ ΚΕΦΑΛΛΗΝΙΑΣ</t>
  </si>
  <si>
    <t xml:space="preserve">REGIONAL UNIT OF KEFALLINIA</t>
  </si>
  <si>
    <t xml:space="preserve">ΠΕΡΙΦΕΡΕΙΑΚΗ ΕΝΟΤΗΤΑ ΛΕΥΚΑΔΑΣ</t>
  </si>
  <si>
    <t xml:space="preserve">REGIONAL UNIT OF LEFKADA</t>
  </si>
  <si>
    <t xml:space="preserve">ΠΕΡΙΦΕΡΕΙΑ ΔΥΤΙΚΗΣ ΕΛΛΑΔΑΣ</t>
  </si>
  <si>
    <t xml:space="preserve">REGION OF DYTIKI ELLADA</t>
  </si>
  <si>
    <t xml:space="preserve">ΠΕΡΙΦΕΡΕΙΑΚΗ ΕΝΟΤΗΤΑ ΑΧΑΪΑΣ</t>
  </si>
  <si>
    <t xml:space="preserve">REGIONAL UNIT OF ACHAIA</t>
  </si>
  <si>
    <t xml:space="preserve">ΠΕΡΙΦΕΡΕΙΑΚΗ ΕΝΟΤΗΤΑ ΑΙΤΩΛΟΑΚΑΡΝΑΝΙΑΣ</t>
  </si>
  <si>
    <t xml:space="preserve">REGIONAL UNIT OF ETOLOAKARNANIA</t>
  </si>
  <si>
    <t xml:space="preserve">ΠΕΡΙΦΕΡΕΙΑΚΗ ΕΝΟΤΗΤΑ ΗΛΕΙΑΣ</t>
  </si>
  <si>
    <t xml:space="preserve">REGIONAL UNIT OF ILEIA</t>
  </si>
  <si>
    <t xml:space="preserve">ΠΕΡΙΦΕΡΕΙΑ ΠΕΛΟΠΟΝΝΗΣΟΥ</t>
  </si>
  <si>
    <t xml:space="preserve">REGION OF PELOPONNISOS</t>
  </si>
  <si>
    <t xml:space="preserve">ΠΕΡΙΦΕΡΕΙΑΚΗ ΕΝΟΤΗΤΑ ΑΡΚΑΔΙΑΣ</t>
  </si>
  <si>
    <t xml:space="preserve">REGIONAL UNIT OF ARKADIA</t>
  </si>
  <si>
    <t xml:space="preserve">ΠΕΡΙΦΕΡΕΙΑΚΗ ΕΝΟΤΗΤΑ ΑΡΓΟΛΙΔΑΣ</t>
  </si>
  <si>
    <t xml:space="preserve">REGIONAL UNIT OF ARGOLIDA</t>
  </si>
  <si>
    <t xml:space="preserve">ΠΕΡΙΦΕΡΕΙΑΚΗ ΕΝΟΤΗΤΑ ΚΟΡΙΝΘΙΑΣ</t>
  </si>
  <si>
    <t xml:space="preserve">REGIONAL UNIT OF KORINTHIA</t>
  </si>
  <si>
    <t xml:space="preserve">ΠΕΡΙΦΕΡΕΙΑΚΗ ΕΝΟΤΗΤΑ ΛΑΚΩΝΙΑΣ</t>
  </si>
  <si>
    <t xml:space="preserve">REGIONAL UNIT OF LAKONIA</t>
  </si>
  <si>
    <t xml:space="preserve">ΠΕΡΙΦΕΡΕΙΑΚΗ ΕΝΟΤΗΤΑ ΜΕΣΣΗΝΙΑΣ</t>
  </si>
  <si>
    <t xml:space="preserve">REGIONAL UNIT OF MESSINIA</t>
  </si>
  <si>
    <t xml:space="preserve">ΠΕΡΙΦΕΡΕΙΑ ΒΟΡΕΙΟΥ ΑΙΓΑΙΟΥ</t>
  </si>
  <si>
    <t xml:space="preserve">REGION OF VOREIO AIGAIO</t>
  </si>
  <si>
    <t xml:space="preserve">ΠΕΡΙΦΕΡΕΙΑΚΗ ΕΝΟΤΗΤΑ ΛΕΣΒΟΥ</t>
  </si>
  <si>
    <t xml:space="preserve">REGIONAL UNIT OF LESVOS</t>
  </si>
  <si>
    <t xml:space="preserve">ΠΕΡΙΦΕΡΕΙΑΚΗ ΕΝΟΤΗΤΑ ΙΚΑΡΙΑΣ</t>
  </si>
  <si>
    <t xml:space="preserve">REGIONAL UNIT OF IKARIA</t>
  </si>
  <si>
    <t xml:space="preserve">ΠΕΡΙΦΕΡΕΙΑΚΗ ΕΝΟΤΗΤΑ ΛΗΜΝΟΥ</t>
  </si>
  <si>
    <t xml:space="preserve">REGIONAL UNIT OF LIMNOS</t>
  </si>
  <si>
    <t xml:space="preserve">ΠΕΡΙΦΕΡΕΙΑΚΗ ΕΝΟΤΗΤΑ ΣΑΜΟΥ</t>
  </si>
  <si>
    <t xml:space="preserve">REGIONAL UNIT OF SAMOS</t>
  </si>
  <si>
    <t xml:space="preserve">ΠΕΡΙΦΕΡΕΙΑΚΗ ΕΝΟΤΗΤΑ ΧΙΟΥ</t>
  </si>
  <si>
    <t xml:space="preserve">REGIONAL UNIT OF CHIOS</t>
  </si>
  <si>
    <t xml:space="preserve">ΠΕΡΙΦΕΡΕΙΑ ΝΟΤΙΟΥ ΑΙΓΑΙΟΥ</t>
  </si>
  <si>
    <t xml:space="preserve">REGION OF NOTIO AIGAIO</t>
  </si>
  <si>
    <t xml:space="preserve">ΠΕΡΙΦΕΡΕΙΑΚΗ ΕΝΟΤΗΤΑ ΣΥΡΟΥ</t>
  </si>
  <si>
    <t xml:space="preserve">REGIONAL UNIT OF SYROS</t>
  </si>
  <si>
    <t xml:space="preserve">ΠΕΡΙΦΕΡΕΙΑΚΗ ΕΝΟΤΗΤΑ ΑΝΔΡΟΥ</t>
  </si>
  <si>
    <t xml:space="preserve">REGIONAL UNIT OF ANDROS</t>
  </si>
  <si>
    <t xml:space="preserve">ΠΕΡΙΦΕΡΕΙΑΚΗ ΕΝΟΤΗΤΑ ΘΗΡΑΣ</t>
  </si>
  <si>
    <t xml:space="preserve">REGIONAL UNIT OF THIRA</t>
  </si>
  <si>
    <t xml:space="preserve">ΠΕΡΙΦΕΡΕΙΑΚΗ ΕΝΟΤΗΤΑ ΚΑΛΥΜΝΟΥ</t>
  </si>
  <si>
    <t xml:space="preserve">REGIONAL UNIT OF KALYMNOS</t>
  </si>
  <si>
    <t xml:space="preserve">ΠΕΡΙΦΕΡΕΙΑΚΗ ΕΝΟΤΗΤΑ ΚΑΡΠΑΘΟΥ</t>
  </si>
  <si>
    <t xml:space="preserve">REGIONAL UNIT OF KARPATHOS</t>
  </si>
  <si>
    <t xml:space="preserve">ΠΕΡΙΦΕΡΕΙΑΚΗ ΕΝΟΤΗΤΑ ΚΕΑΣ ΚΥΘΝΟΥ</t>
  </si>
  <si>
    <t xml:space="preserve">REGIONAL UNIT OF KEA KYTHNOS</t>
  </si>
  <si>
    <t xml:space="preserve">ΠΕΡΙΦΕΡΕΙΑΚΗ ΕΝΟΤΗΤΑ ΚΩ</t>
  </si>
  <si>
    <t xml:space="preserve">REGIONAL UNIT OF KOS</t>
  </si>
  <si>
    <t xml:space="preserve">ΠΕΡΙΦΕΡΕΙΑΚΗ ΕΝΟΤΗΤΑ ΜΗΛΟΥ</t>
  </si>
  <si>
    <t xml:space="preserve">REGIONAL UNIT OF MILOS</t>
  </si>
  <si>
    <t xml:space="preserve">ΠΕΡΙΦΕΡΕΙΑΚΗ ΕΝΟΤΗΤΑ ΜΥΚΟΝΟΥ</t>
  </si>
  <si>
    <t xml:space="preserve">REGIONAL UNIT OF MYKONOS</t>
  </si>
  <si>
    <t xml:space="preserve">ΠΕΡΙΦΕΡΕΙΑΚΗ ΕΝΟΤΗΤΑ ΝΑΞΟΥ</t>
  </si>
  <si>
    <t xml:space="preserve">REGIONAL UNIT OF NAXOS</t>
  </si>
  <si>
    <t xml:space="preserve">ΠΕΡΙΦΕΡΕΙΑΚΗ ΕΝΟΤΗΤΑ ΠΑΡΟΥ</t>
  </si>
  <si>
    <t xml:space="preserve">REGIONAL UNIT OF PAROS</t>
  </si>
  <si>
    <t xml:space="preserve">ΠΕΡΙΦΕΡΕΙΑΚΗ ΕΝΟΤΗΤΑ ΡΟΔΟΥ</t>
  </si>
  <si>
    <t xml:space="preserve">REGIONAL UNIT OF RODOS</t>
  </si>
  <si>
    <t xml:space="preserve">ΠΕΡΙΦΕΡΕΙΑΚΗ ΕΝΟΤΗΤΑ ΤΗΝΟΥ</t>
  </si>
  <si>
    <t xml:space="preserve">REGIONAL UNIT OF TINOS</t>
  </si>
  <si>
    <t xml:space="preserve">ΠΕΡΙΦΕΡΕΙΑ ΚΡΗΤΗΣ</t>
  </si>
  <si>
    <t xml:space="preserve">REGION OF KRITI</t>
  </si>
  <si>
    <t xml:space="preserve">ΠΕΡΙΦΕΡΕΙΑΚΗ ΕΝΟΤΗΤΑ ΗΡΑΚΛΕΙΟΥ</t>
  </si>
  <si>
    <t xml:space="preserve">REGIONAL UNIT OF IRAKLEIO</t>
  </si>
  <si>
    <t xml:space="preserve">ΠΕΡΙΦΕΡΕΙΑΚΗ ΕΝΟΤΗΤΑ ΛΑΣΙΘΙΟΥ</t>
  </si>
  <si>
    <t xml:space="preserve">REGIONAL UNIT OF LASITHI</t>
  </si>
  <si>
    <t xml:space="preserve">ΠΕΡΙΦΕΡΕΙΑΚΗ ΕΝΟΤΗΤΑ ΡΕΘΥΜΝΟΥ</t>
  </si>
  <si>
    <t xml:space="preserve">REGIONAL UNIT OF RETHYMNO</t>
  </si>
  <si>
    <t xml:space="preserve">ΠΕΡΙΦΕΡΕΙΑΚΗ ΕΝΟΤΗΤΑ ΧΑΝΙΩΝ</t>
  </si>
  <si>
    <t xml:space="preserve">REGIONAL UNIT OF CHANIA</t>
  </si>
  <si>
    <t xml:space="preserve">Περιφέρεια</t>
  </si>
  <si>
    <t xml:space="preserve">Αριθμός  Number      </t>
  </si>
  <si>
    <t xml:space="preserve">Όροφοι Storeys      </t>
  </si>
  <si>
    <t xml:space="preserve">Όγκος Volume       </t>
  </si>
  <si>
    <t xml:space="preserve">Επιφάνεια Surface  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</si>
</sst>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 &quot;"/>
  </numFmts>
  <fonts count="12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2"/>
      <charset val="161"/>
    </font>
    <font>
      <b val="true"/>
      <sz val="10"/>
      <name val="Arial"/>
      <family val="2"/>
      <charset val="161"/>
    </font>
    <font>
      <vertAlign val="superscript"/>
      <sz val="11"/>
      <color rgb="FF000000"/>
      <name val="Calibri"/>
      <family val="2"/>
      <charset val="161"/>
    </font>
    <font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61"/>
    </font>
    <font>
      <b val="true"/>
      <sz val="11"/>
      <color rgb="FF000000"/>
      <name val="Calibri"/>
      <family val="2"/>
      <charset val="161"/>
    </font>
    <font>
      <i val="true"/>
      <sz val="10"/>
      <name val="Arial"/>
      <family val="2"/>
      <charset val="161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true" indent="1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H21" activeCellId="0" sqref="H21"/>
    </sheetView>
  </sheetViews>
  <sheetFormatPr defaultColWidth="8.96484375" defaultRowHeight="15.8" customHeight="false" zeroHeight="false" outlineLevelRow="0" outlineLevelCol="0"/>
  <cols>
    <col collapsed="false" customWidth="true" hidden="false" outlineLevel="0" max="1" min="1" style="0" width="48.43"/>
    <col collapsed="false" customWidth="true" hidden="false" outlineLevel="0" max="5" min="2" style="1" width="11.66"/>
    <col collapsed="false" customWidth="true" hidden="false" outlineLevel="0" max="6" min="6" style="0" width="51.43"/>
    <col collapsed="false" customWidth="true" hidden="false" outlineLevel="0" max="7" min="7" style="0" width="20.54"/>
  </cols>
  <sheetData>
    <row r="1" customFormat="false" ht="14.4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8" hidden="false" customHeight="false" outlineLevel="0" collapsed="false">
      <c r="A2" s="3" t="s">
        <v>1</v>
      </c>
      <c r="B2" s="4"/>
      <c r="C2" s="4"/>
      <c r="D2" s="4"/>
      <c r="E2" s="4"/>
      <c r="F2" s="5"/>
    </row>
    <row r="3" customFormat="false" ht="14.4" hidden="false" customHeight="true" outlineLevel="0" collapsed="false">
      <c r="A3" s="2" t="s">
        <v>2</v>
      </c>
      <c r="B3" s="2"/>
      <c r="C3" s="2"/>
      <c r="D3" s="2"/>
      <c r="E3" s="2"/>
      <c r="F3" s="2"/>
    </row>
    <row r="4" customFormat="false" ht="15.8" hidden="false" customHeight="false" outlineLevel="0" collapsed="false">
      <c r="A4" s="3" t="s">
        <v>3</v>
      </c>
      <c r="B4" s="4"/>
      <c r="C4" s="4"/>
      <c r="D4" s="4"/>
      <c r="E4" s="4"/>
      <c r="F4" s="5"/>
    </row>
    <row r="6" customFormat="false" ht="16.5" hidden="false" customHeight="true" outlineLevel="0" collapsed="false">
      <c r="A6" s="6" t="s">
        <v>4</v>
      </c>
      <c r="B6" s="7"/>
      <c r="E6" s="7"/>
      <c r="F6" s="8" t="s">
        <v>5</v>
      </c>
    </row>
    <row r="7" customFormat="false" ht="34.2" hidden="false" customHeight="true" outlineLevel="0" collapsed="false">
      <c r="A7" s="9" t="s">
        <v>6</v>
      </c>
      <c r="B7" s="10" t="s">
        <v>7</v>
      </c>
      <c r="C7" s="10" t="s">
        <v>8</v>
      </c>
      <c r="D7" s="10" t="s">
        <v>9</v>
      </c>
      <c r="E7" s="10" t="s">
        <v>10</v>
      </c>
      <c r="F7" s="9" t="s">
        <v>11</v>
      </c>
      <c r="G7" s="11" t="s">
        <v>12</v>
      </c>
    </row>
    <row r="8" customFormat="false" ht="32.05" hidden="false" customHeight="true" outlineLevel="0" collapsed="false">
      <c r="A8" s="12" t="s">
        <v>13</v>
      </c>
      <c r="B8" s="13" t="n">
        <v>1459</v>
      </c>
      <c r="C8" s="13" t="n">
        <v>2898</v>
      </c>
      <c r="D8" s="13" t="n">
        <v>2383373</v>
      </c>
      <c r="E8" s="13" t="n">
        <v>556839</v>
      </c>
      <c r="F8" s="14" t="s">
        <v>14</v>
      </c>
      <c r="G8" s="0" t="str">
        <f aca="false">IF(ISNUMBER(SEARCH("Σύνολο Χώρας",A8)),"Country Total",IF(ISNUMBER(SEARCH("ΠΕΡΙΦΕΡΕΙΑΚΗ ΕΝΟΤΗΤΑ",A8)),"Regional Unit",IF(ISNUMBER(SEARCH("ΠΕΡΙΦΕΡΕΙΑ",A8)),"Region","Check text")))</f>
        <v>Country Total</v>
      </c>
    </row>
    <row r="9" customFormat="false" ht="15.8" hidden="false" customHeight="false" outlineLevel="0" collapsed="false">
      <c r="A9" s="15" t="s">
        <v>15</v>
      </c>
      <c r="B9" s="16" t="n">
        <v>237</v>
      </c>
      <c r="C9" s="16" t="n">
        <v>711</v>
      </c>
      <c r="D9" s="16" t="n">
        <v>682842</v>
      </c>
      <c r="E9" s="16" t="n">
        <v>139764</v>
      </c>
      <c r="F9" s="17" t="s">
        <v>16</v>
      </c>
      <c r="G9" s="0" t="str">
        <f aca="false">IF(ISNUMBER(SEARCH("Σύνολο Χώρας",A9)),"Country Total",IF(ISNUMBER(SEARCH("ΠΕΡΙΦΕΡΕΙΑΚΗ ΕΝΟΤΗΤΑ",A9)),"Regional Unit",IF(ISNUMBER(SEARCH("ΠΕΡΙΦΕΡΕΙΑ",A9)),"Region","Check text")))</f>
        <v>Region</v>
      </c>
    </row>
    <row r="10" customFormat="false" ht="30.15" hidden="false" customHeight="true" outlineLevel="0" collapsed="false">
      <c r="A10" s="18" t="s">
        <v>17</v>
      </c>
      <c r="B10" s="19" t="n">
        <v>23</v>
      </c>
      <c r="C10" s="19" t="n">
        <v>121</v>
      </c>
      <c r="D10" s="19" t="n">
        <v>56749</v>
      </c>
      <c r="E10" s="19" t="n">
        <v>15686</v>
      </c>
      <c r="F10" s="20" t="s">
        <v>18</v>
      </c>
      <c r="G10" s="0" t="str">
        <f aca="false">IF(ISNUMBER(SEARCH("Σύνολο Χώρας",A10)),"Country Total",IF(ISNUMBER(SEARCH("ΠΕΡΙΦΕΡΕΙΑΚΗ ΕΝΟΤΗΤΑ",A10)),"Regional Unit",IF(ISNUMBER(SEARCH("ΠΕΡΙΦΕΡΕΙΑ",A10)),"Region","Check text")))</f>
        <v>Regional Unit</v>
      </c>
    </row>
    <row r="11" customFormat="false" ht="30.15" hidden="false" customHeight="true" outlineLevel="0" collapsed="false">
      <c r="A11" s="18" t="s">
        <v>19</v>
      </c>
      <c r="B11" s="19" t="n">
        <v>39</v>
      </c>
      <c r="C11" s="19" t="n">
        <v>137</v>
      </c>
      <c r="D11" s="19" t="n">
        <v>77528</v>
      </c>
      <c r="E11" s="19" t="n">
        <v>21841</v>
      </c>
      <c r="F11" s="20" t="s">
        <v>20</v>
      </c>
      <c r="G11" s="0" t="str">
        <f aca="false">IF(ISNUMBER(SEARCH("Σύνολο Χώρας",A11)),"Country Total",IF(ISNUMBER(SEARCH("ΠΕΡΙΦΕΡΕΙΑΚΗ ΕΝΟΤΗΤΑ",A11)),"Regional Unit",IF(ISNUMBER(SEARCH("ΠΕΡΙΦΕΡΕΙΑ",A11)),"Region","Check text")))</f>
        <v>Regional Unit</v>
      </c>
    </row>
    <row r="12" customFormat="false" ht="30.15" hidden="false" customHeight="true" outlineLevel="0" collapsed="false">
      <c r="A12" s="18" t="s">
        <v>21</v>
      </c>
      <c r="B12" s="19" t="n">
        <v>21</v>
      </c>
      <c r="C12" s="19" t="n">
        <v>71</v>
      </c>
      <c r="D12" s="19" t="n">
        <v>40456</v>
      </c>
      <c r="E12" s="19" t="n">
        <v>10317</v>
      </c>
      <c r="F12" s="20" t="s">
        <v>22</v>
      </c>
      <c r="G12" s="0" t="str">
        <f aca="false">IF(ISNUMBER(SEARCH("Σύνολο Χώρας",A12)),"Country Total",IF(ISNUMBER(SEARCH("ΠΕΡΙΦΕΡΕΙΑΚΗ ΕΝΟΤΗΤΑ",A12)),"Regional Unit",IF(ISNUMBER(SEARCH("ΠΕΡΙΦΕΡΕΙΑ",A12)),"Region","Check text")))</f>
        <v>Regional Unit</v>
      </c>
    </row>
    <row r="13" customFormat="false" ht="30.15" hidden="false" customHeight="true" outlineLevel="0" collapsed="false">
      <c r="A13" s="18" t="s">
        <v>23</v>
      </c>
      <c r="B13" s="19" t="n">
        <v>26</v>
      </c>
      <c r="C13" s="19" t="n">
        <v>113</v>
      </c>
      <c r="D13" s="19" t="n">
        <v>78000</v>
      </c>
      <c r="E13" s="19" t="n">
        <v>21089</v>
      </c>
      <c r="F13" s="20" t="s">
        <v>24</v>
      </c>
      <c r="G13" s="0" t="str">
        <f aca="false">IF(ISNUMBER(SEARCH("Σύνολο Χώρας",A13)),"Country Total",IF(ISNUMBER(SEARCH("ΠΕΡΙΦΕΡΕΙΑΚΗ ΕΝΟΤΗΤΑ",A13)),"Regional Unit",IF(ISNUMBER(SEARCH("ΠΕΡΙΦΕΡΕΙΑ",A13)),"Region","Check text")))</f>
        <v>Regional Unit</v>
      </c>
    </row>
    <row r="14" customFormat="false" ht="15.8" hidden="false" customHeight="false" outlineLevel="0" collapsed="false">
      <c r="A14" s="21" t="s">
        <v>25</v>
      </c>
      <c r="B14" s="19" t="n">
        <v>88</v>
      </c>
      <c r="C14" s="19" t="n">
        <v>176</v>
      </c>
      <c r="D14" s="19" t="n">
        <v>127932</v>
      </c>
      <c r="E14" s="19" t="n">
        <v>30940</v>
      </c>
      <c r="F14" s="20" t="s">
        <v>26</v>
      </c>
      <c r="G14" s="0" t="str">
        <f aca="false">IF(ISNUMBER(SEARCH("Σύνολο Χώρας",A14)),"Country Total",IF(ISNUMBER(SEARCH("ΠΕΡΙΦΕΡΕΙΑΚΗ ΕΝΟΤΗΤΑ",A14)),"Regional Unit",IF(ISNUMBER(SEARCH("ΠΕΡΙΦΕΡΕΙΑ",A14)),"Region","Check text")))</f>
        <v>Regional Unit</v>
      </c>
    </row>
    <row r="15" customFormat="false" ht="15.8" hidden="false" customHeight="false" outlineLevel="0" collapsed="false">
      <c r="A15" s="21" t="s">
        <v>27</v>
      </c>
      <c r="B15" s="19" t="n">
        <v>22</v>
      </c>
      <c r="C15" s="19" t="n">
        <v>51</v>
      </c>
      <c r="D15" s="19" t="n">
        <v>239972</v>
      </c>
      <c r="E15" s="19" t="n">
        <v>29215</v>
      </c>
      <c r="F15" s="20" t="s">
        <v>28</v>
      </c>
      <c r="G15" s="0" t="str">
        <f aca="false">IF(ISNUMBER(SEARCH("Σύνολο Χώρας",A15)),"Country Total",IF(ISNUMBER(SEARCH("ΠΕΡΙΦΕΡΕΙΑΚΗ ΕΝΟΤΗΤΑ",A15)),"Regional Unit",IF(ISNUMBER(SEARCH("ΠΕΡΙΦΕΡΕΙΑ",A15)),"Region","Check text")))</f>
        <v>Regional Unit</v>
      </c>
    </row>
    <row r="16" customFormat="false" ht="15.8" hidden="false" customHeight="false" outlineLevel="0" collapsed="false">
      <c r="A16" s="21" t="s">
        <v>29</v>
      </c>
      <c r="B16" s="19" t="n">
        <v>6</v>
      </c>
      <c r="C16" s="19" t="n">
        <v>22</v>
      </c>
      <c r="D16" s="19" t="n">
        <v>50242</v>
      </c>
      <c r="E16" s="19" t="n">
        <v>7388</v>
      </c>
      <c r="F16" s="20" t="s">
        <v>30</v>
      </c>
      <c r="G16" s="0" t="str">
        <f aca="false">IF(ISNUMBER(SEARCH("Σύνολο Χώρας",A16)),"Country Total",IF(ISNUMBER(SEARCH("ΠΕΡΙΦΕΡΕΙΑΚΗ ΕΝΟΤΗΤΑ",A16)),"Regional Unit",IF(ISNUMBER(SEARCH("ΠΕΡΙΦΕΡΕΙΑ",A16)),"Region","Check text")))</f>
        <v>Regional Unit</v>
      </c>
    </row>
    <row r="17" customFormat="false" ht="15.8" hidden="false" customHeight="false" outlineLevel="0" collapsed="false">
      <c r="A17" s="21" t="s">
        <v>31</v>
      </c>
      <c r="B17" s="19" t="n">
        <v>12</v>
      </c>
      <c r="C17" s="19" t="n">
        <v>20</v>
      </c>
      <c r="D17" s="19" t="n">
        <v>11963</v>
      </c>
      <c r="E17" s="19" t="n">
        <v>3288</v>
      </c>
      <c r="F17" s="20" t="s">
        <v>32</v>
      </c>
      <c r="G17" s="0" t="str">
        <f aca="false">IF(ISNUMBER(SEARCH("Σύνολο Χώρας",A17)),"Country Total",IF(ISNUMBER(SEARCH("ΠΕΡΙΦΕΡΕΙΑΚΗ ΕΝΟΤΗΤΑ",A17)),"Regional Unit",IF(ISNUMBER(SEARCH("ΠΕΡΙΦΕΡΕΙΑ",A17)),"Region","Check text")))</f>
        <v>Regional Unit</v>
      </c>
    </row>
    <row r="18" customFormat="false" ht="15.8" hidden="false" customHeight="false" outlineLevel="0" collapsed="false">
      <c r="A18" s="22" t="s">
        <v>33</v>
      </c>
      <c r="B18" s="16" t="n">
        <v>78</v>
      </c>
      <c r="C18" s="16" t="n">
        <v>166</v>
      </c>
      <c r="D18" s="16" t="n">
        <v>91380</v>
      </c>
      <c r="E18" s="16" t="n">
        <v>25905</v>
      </c>
      <c r="F18" s="17" t="s">
        <v>34</v>
      </c>
      <c r="G18" s="0" t="str">
        <f aca="false">IF(ISNUMBER(SEARCH("Σύνολο Χώρας",A18)),"Country Total",IF(ISNUMBER(SEARCH("ΠΕΡΙΦΕΡΕΙΑΚΗ ΕΝΟΤΗΤΑ",A18)),"Regional Unit",IF(ISNUMBER(SEARCH("ΠΕΡΙΦΕΡΕΙΑ",A18)),"Region","Check text")))</f>
        <v>Region</v>
      </c>
    </row>
    <row r="19" customFormat="false" ht="14.4" hidden="false" customHeight="true" outlineLevel="0" collapsed="false">
      <c r="A19" s="21" t="s">
        <v>35</v>
      </c>
      <c r="B19" s="19" t="n">
        <v>9</v>
      </c>
      <c r="C19" s="19" t="n">
        <v>14</v>
      </c>
      <c r="D19" s="19" t="n">
        <v>9515</v>
      </c>
      <c r="E19" s="19" t="n">
        <v>3067</v>
      </c>
      <c r="F19" s="20" t="s">
        <v>36</v>
      </c>
      <c r="G19" s="0" t="str">
        <f aca="false">IF(ISNUMBER(SEARCH("Σύνολο Χώρας",A19)),"Country Total",IF(ISNUMBER(SEARCH("ΠΕΡΙΦΕΡΕΙΑΚΗ ΕΝΟΤΗΤΑ",A19)),"Regional Unit",IF(ISNUMBER(SEARCH("ΠΕΡΙΦΕΡΕΙΑ",A19)),"Region","Check text")))</f>
        <v>Regional Unit</v>
      </c>
    </row>
    <row r="20" customFormat="false" ht="14.4" hidden="false" customHeight="true" outlineLevel="0" collapsed="false">
      <c r="A20" s="21" t="s">
        <v>37</v>
      </c>
      <c r="B20" s="19" t="n">
        <v>5</v>
      </c>
      <c r="C20" s="19" t="n">
        <v>5</v>
      </c>
      <c r="D20" s="19" t="n">
        <v>2704</v>
      </c>
      <c r="E20" s="19" t="n">
        <v>603</v>
      </c>
      <c r="F20" s="20" t="s">
        <v>38</v>
      </c>
      <c r="G20" s="0" t="str">
        <f aca="false">IF(ISNUMBER(SEARCH("Σύνολο Χώρας",A20)),"Country Total",IF(ISNUMBER(SEARCH("ΠΕΡΙΦΕΡΕΙΑΚΗ ΕΝΟΤΗΤΑ",A20)),"Regional Unit",IF(ISNUMBER(SEARCH("ΠΕΡΙΦΕΡΕΙΑ",A20)),"Region","Check text")))</f>
        <v>Regional Unit</v>
      </c>
    </row>
    <row r="21" customFormat="false" ht="14.4" hidden="false" customHeight="true" outlineLevel="0" collapsed="false">
      <c r="A21" s="21" t="s">
        <v>39</v>
      </c>
      <c r="B21" s="19" t="n">
        <v>15</v>
      </c>
      <c r="C21" s="19" t="n">
        <v>51</v>
      </c>
      <c r="D21" s="19" t="n">
        <v>21801</v>
      </c>
      <c r="E21" s="19" t="n">
        <v>6967</v>
      </c>
      <c r="F21" s="20" t="s">
        <v>40</v>
      </c>
      <c r="G21" s="0" t="str">
        <f aca="false">IF(ISNUMBER(SEARCH("Σύνολο Χώρας",A21)),"Country Total",IF(ISNUMBER(SEARCH("ΠΕΡΙΦΕΡΕΙΑΚΗ ΕΝΟΤΗΤΑ",A21)),"Regional Unit",IF(ISNUMBER(SEARCH("ΠΕΡΙΦΕΡΕΙΑ",A21)),"Region","Check text")))</f>
        <v>Regional Unit</v>
      </c>
    </row>
    <row r="22" customFormat="false" ht="14.4" hidden="false" customHeight="true" outlineLevel="0" collapsed="false">
      <c r="A22" s="21" t="s">
        <v>41</v>
      </c>
      <c r="B22" s="19" t="n">
        <v>15</v>
      </c>
      <c r="C22" s="19" t="n">
        <v>25</v>
      </c>
      <c r="D22" s="19" t="n">
        <v>13534</v>
      </c>
      <c r="E22" s="19" t="n">
        <v>3687</v>
      </c>
      <c r="F22" s="20" t="s">
        <v>42</v>
      </c>
      <c r="G22" s="0" t="str">
        <f aca="false">IF(ISNUMBER(SEARCH("Σύνολο Χώρας",A22)),"Country Total",IF(ISNUMBER(SEARCH("ΠΕΡΙΦΕΡΕΙΑΚΗ ΕΝΟΤΗΤΑ",A22)),"Regional Unit",IF(ISNUMBER(SEARCH("ΠΕΡΙΦΕΡΕΙΑ",A22)),"Region","Check text")))</f>
        <v>Regional Unit</v>
      </c>
    </row>
    <row r="23" customFormat="false" ht="14.4" hidden="false" customHeight="true" outlineLevel="0" collapsed="false">
      <c r="A23" s="21" t="s">
        <v>43</v>
      </c>
      <c r="B23" s="19" t="n">
        <v>20</v>
      </c>
      <c r="C23" s="19" t="n">
        <v>37</v>
      </c>
      <c r="D23" s="19" t="n">
        <v>25582</v>
      </c>
      <c r="E23" s="19" t="n">
        <v>5861</v>
      </c>
      <c r="F23" s="20" t="s">
        <v>44</v>
      </c>
      <c r="G23" s="0" t="str">
        <f aca="false">IF(ISNUMBER(SEARCH("Σύνολο Χώρας",A23)),"Country Total",IF(ISNUMBER(SEARCH("ΠΕΡΙΦΕΡΕΙΑΚΗ ΕΝΟΤΗΤΑ",A23)),"Regional Unit",IF(ISNUMBER(SEARCH("ΠΕΡΙΦΕΡΕΙΑ",A23)),"Region","Check text")))</f>
        <v>Regional Unit</v>
      </c>
    </row>
    <row r="24" customFormat="false" ht="14.4" hidden="false" customHeight="true" outlineLevel="0" collapsed="false">
      <c r="A24" s="21" t="s">
        <v>45</v>
      </c>
      <c r="B24" s="19" t="n">
        <v>14</v>
      </c>
      <c r="C24" s="19" t="n">
        <v>34</v>
      </c>
      <c r="D24" s="19" t="n">
        <v>18244</v>
      </c>
      <c r="E24" s="19" t="n">
        <v>5720</v>
      </c>
      <c r="F24" s="20" t="s">
        <v>46</v>
      </c>
      <c r="G24" s="0" t="str">
        <f aca="false">IF(ISNUMBER(SEARCH("Σύνολο Χώρας",A24)),"Country Total",IF(ISNUMBER(SEARCH("ΠΕΡΙΦΕΡΕΙΑΚΗ ΕΝΟΤΗΤΑ",A24)),"Regional Unit",IF(ISNUMBER(SEARCH("ΠΕΡΙΦΕΡΕΙΑ",A24)),"Region","Check text")))</f>
        <v>Regional Unit</v>
      </c>
    </row>
    <row r="25" customFormat="false" ht="14.4" hidden="false" customHeight="true" outlineLevel="0" collapsed="false">
      <c r="A25" s="22" t="s">
        <v>47</v>
      </c>
      <c r="B25" s="16" t="n">
        <v>136</v>
      </c>
      <c r="C25" s="16" t="n">
        <v>262</v>
      </c>
      <c r="D25" s="16" t="n">
        <v>300653</v>
      </c>
      <c r="E25" s="16" t="n">
        <v>62441</v>
      </c>
      <c r="F25" s="17" t="s">
        <v>48</v>
      </c>
      <c r="G25" s="0" t="str">
        <f aca="false">IF(ISNUMBER(SEARCH("Σύνολο Χώρας",A25)),"Country Total",IF(ISNUMBER(SEARCH("ΠΕΡΙΦΕΡΕΙΑΚΗ ΕΝΟΤΗΤΑ",A25)),"Regional Unit",IF(ISNUMBER(SEARCH("ΠΕΡΙΦΕΡΕΙΑ",A25)),"Region","Check text")))</f>
        <v>Region</v>
      </c>
    </row>
    <row r="26" customFormat="false" ht="14.4" hidden="false" customHeight="true" outlineLevel="0" collapsed="false">
      <c r="A26" s="21" t="s">
        <v>49</v>
      </c>
      <c r="B26" s="19" t="n">
        <v>54</v>
      </c>
      <c r="C26" s="19" t="n">
        <v>119</v>
      </c>
      <c r="D26" s="19" t="n">
        <v>171317</v>
      </c>
      <c r="E26" s="19" t="n">
        <v>34000</v>
      </c>
      <c r="F26" s="20" t="s">
        <v>50</v>
      </c>
      <c r="G26" s="0" t="str">
        <f aca="false">IF(ISNUMBER(SEARCH("Σύνολο Χώρας",A26)),"Country Total",IF(ISNUMBER(SEARCH("ΠΕΡΙΦΕΡΕΙΑΚΗ ΕΝΟΤΗΤΑ",A26)),"Regional Unit",IF(ISNUMBER(SEARCH("ΠΕΡΙΦΕΡΕΙΑ",A26)),"Region","Check text")))</f>
        <v>Regional Unit</v>
      </c>
    </row>
    <row r="27" customFormat="false" ht="15.8" hidden="false" customHeight="false" outlineLevel="0" collapsed="false">
      <c r="A27" s="21" t="s">
        <v>51</v>
      </c>
      <c r="B27" s="19" t="n">
        <v>11</v>
      </c>
      <c r="C27" s="19" t="n">
        <v>15</v>
      </c>
      <c r="D27" s="19" t="n">
        <v>37551</v>
      </c>
      <c r="E27" s="19" t="n">
        <v>4259</v>
      </c>
      <c r="F27" s="20" t="s">
        <v>52</v>
      </c>
      <c r="G27" s="0" t="str">
        <f aca="false">IF(ISNUMBER(SEARCH("Σύνολο Χώρας",A27)),"Country Total",IF(ISNUMBER(SEARCH("ΠΕΡΙΦΕΡΕΙΑΚΗ ΕΝΟΤΗΤΑ",A27)),"Regional Unit",IF(ISNUMBER(SEARCH("ΠΕΡΙΦΕΡΕΙΑ",A27)),"Region","Check text")))</f>
        <v>Regional Unit</v>
      </c>
    </row>
    <row r="28" customFormat="false" ht="15.8" hidden="false" customHeight="false" outlineLevel="0" collapsed="false">
      <c r="A28" s="21" t="s">
        <v>53</v>
      </c>
      <c r="B28" s="19" t="n">
        <v>2</v>
      </c>
      <c r="C28" s="19" t="n">
        <v>2</v>
      </c>
      <c r="D28" s="19" t="n">
        <v>20292</v>
      </c>
      <c r="E28" s="19" t="n">
        <v>2783</v>
      </c>
      <c r="F28" s="20" t="s">
        <v>54</v>
      </c>
      <c r="G28" s="0" t="str">
        <f aca="false">IF(ISNUMBER(SEARCH("Σύνολο Χώρας",A28)),"Country Total",IF(ISNUMBER(SEARCH("ΠΕΡΙΦΕΡΕΙΑΚΗ ΕΝΟΤΗΤΑ",A28)),"Regional Unit",IF(ISNUMBER(SEARCH("ΠΕΡΙΦΕΡΕΙΑ",A28)),"Region","Check text")))</f>
        <v>Regional Unit</v>
      </c>
    </row>
    <row r="29" customFormat="false" ht="16.35" hidden="false" customHeight="true" outlineLevel="0" collapsed="false">
      <c r="A29" s="21" t="s">
        <v>55</v>
      </c>
      <c r="B29" s="19" t="n">
        <v>6</v>
      </c>
      <c r="C29" s="19" t="n">
        <v>11</v>
      </c>
      <c r="D29" s="19" t="n">
        <v>5722</v>
      </c>
      <c r="E29" s="19" t="n">
        <v>1800</v>
      </c>
      <c r="F29" s="20" t="s">
        <v>56</v>
      </c>
      <c r="G29" s="0" t="str">
        <f aca="false">IF(ISNUMBER(SEARCH("Σύνολο Χώρας",A29)),"Country Total",IF(ISNUMBER(SEARCH("ΠΕΡΙΦΕΡΕΙΑΚΗ ΕΝΟΤΗΤΑ",A29)),"Regional Unit",IF(ISNUMBER(SEARCH("ΠΕΡΙΦΕΡΕΙΑ",A29)),"Region","Check text")))</f>
        <v>Regional Unit</v>
      </c>
    </row>
    <row r="30" customFormat="false" ht="15.8" hidden="false" customHeight="false" outlineLevel="0" collapsed="false">
      <c r="A30" s="21" t="s">
        <v>57</v>
      </c>
      <c r="B30" s="19" t="n">
        <v>14</v>
      </c>
      <c r="C30" s="19" t="n">
        <v>30</v>
      </c>
      <c r="D30" s="19" t="n">
        <v>16707</v>
      </c>
      <c r="E30" s="19" t="n">
        <v>4510</v>
      </c>
      <c r="F30" s="20" t="s">
        <v>58</v>
      </c>
      <c r="G30" s="0" t="str">
        <f aca="false">IF(ISNUMBER(SEARCH("Σύνολο Χώρας",A30)),"Country Total",IF(ISNUMBER(SEARCH("ΠΕΡΙΦΕΡΕΙΑΚΗ ΕΝΟΤΗΤΑ",A30)),"Regional Unit",IF(ISNUMBER(SEARCH("ΠΕΡΙΦΕΡΕΙΑ",A30)),"Region","Check text")))</f>
        <v>Regional Unit</v>
      </c>
    </row>
    <row r="31" customFormat="false" ht="15.8" hidden="false" customHeight="false" outlineLevel="0" collapsed="false">
      <c r="A31" s="21" t="s">
        <v>59</v>
      </c>
      <c r="B31" s="19" t="n">
        <v>3</v>
      </c>
      <c r="C31" s="19" t="n">
        <v>4</v>
      </c>
      <c r="D31" s="19" t="n">
        <v>2800</v>
      </c>
      <c r="E31" s="19" t="n">
        <v>819</v>
      </c>
      <c r="F31" s="20" t="s">
        <v>60</v>
      </c>
      <c r="G31" s="0" t="str">
        <f aca="false">IF(ISNUMBER(SEARCH("Σύνολο Χώρας",A31)),"Country Total",IF(ISNUMBER(SEARCH("ΠΕΡΙΦΕΡΕΙΑΚΗ ΕΝΟΤΗΤΑ",A31)),"Regional Unit",IF(ISNUMBER(SEARCH("ΠΕΡΙΦΕΡΕΙΑ",A31)),"Region","Check text")))</f>
        <v>Regional Unit</v>
      </c>
    </row>
    <row r="32" customFormat="false" ht="15.8" hidden="false" customHeight="false" outlineLevel="0" collapsed="false">
      <c r="A32" s="21" t="s">
        <v>61</v>
      </c>
      <c r="B32" s="19" t="n">
        <v>46</v>
      </c>
      <c r="C32" s="19" t="n">
        <v>81</v>
      </c>
      <c r="D32" s="19" t="n">
        <v>46264</v>
      </c>
      <c r="E32" s="19" t="n">
        <v>14270</v>
      </c>
      <c r="F32" s="20" t="s">
        <v>62</v>
      </c>
      <c r="G32" s="0" t="str">
        <f aca="false">IF(ISNUMBER(SEARCH("Σύνολο Χώρας",A32)),"Country Total",IF(ISNUMBER(SEARCH("ΠΕΡΙΦΕΡΕΙΑΚΗ ΕΝΟΤΗΤΑ",A32)),"Regional Unit",IF(ISNUMBER(SEARCH("ΠΕΡΙΦΕΡΕΙΑ",A32)),"Region","Check text")))</f>
        <v>Regional Unit</v>
      </c>
    </row>
    <row r="33" customFormat="false" ht="15.8" hidden="false" customHeight="false" outlineLevel="0" collapsed="false">
      <c r="A33" s="22" t="s">
        <v>63</v>
      </c>
      <c r="B33" s="16" t="n">
        <v>8</v>
      </c>
      <c r="C33" s="16" t="n">
        <v>13</v>
      </c>
      <c r="D33" s="16" t="n">
        <v>41165</v>
      </c>
      <c r="E33" s="16" t="n">
        <v>6058</v>
      </c>
      <c r="F33" s="17" t="s">
        <v>64</v>
      </c>
      <c r="G33" s="0" t="str">
        <f aca="false">IF(ISNUMBER(SEARCH("Σύνολο Χώρας",A33)),"Country Total",IF(ISNUMBER(SEARCH("ΠΕΡΙΦΕΡΕΙΑΚΗ ΕΝΟΤΗΤΑ",A33)),"Regional Unit",IF(ISNUMBER(SEARCH("ΠΕΡΙΦΕΡΕΙΑ",A33)),"Region","Check text")))</f>
        <v>Region</v>
      </c>
    </row>
    <row r="34" customFormat="false" ht="15.8" hidden="false" customHeight="false" outlineLevel="0" collapsed="false">
      <c r="A34" s="21" t="s">
        <v>65</v>
      </c>
      <c r="B34" s="19" t="n">
        <v>4</v>
      </c>
      <c r="C34" s="19" t="n">
        <v>5</v>
      </c>
      <c r="D34" s="19" t="n">
        <v>31978</v>
      </c>
      <c r="E34" s="19" t="n">
        <v>3504</v>
      </c>
      <c r="F34" s="20" t="s">
        <v>66</v>
      </c>
      <c r="G34" s="0" t="str">
        <f aca="false">IF(ISNUMBER(SEARCH("Σύνολο Χώρας",A34)),"Country Total",IF(ISNUMBER(SEARCH("ΠΕΡΙΦΕΡΕΙΑΚΗ ΕΝΟΤΗΤΑ",A34)),"Regional Unit",IF(ISNUMBER(SEARCH("ΠΕΡΙΦΕΡΕΙΑ",A34)),"Region","Check text")))</f>
        <v>Regional Unit</v>
      </c>
    </row>
    <row r="35" customFormat="false" ht="15.8" hidden="false" customHeight="false" outlineLevel="0" collapsed="false">
      <c r="A35" s="21" t="s">
        <v>67</v>
      </c>
      <c r="B35" s="19" t="n">
        <v>0</v>
      </c>
      <c r="C35" s="19" t="n">
        <v>0</v>
      </c>
      <c r="D35" s="19" t="n">
        <v>0</v>
      </c>
      <c r="E35" s="19" t="n">
        <v>0</v>
      </c>
      <c r="F35" s="20" t="s">
        <v>68</v>
      </c>
      <c r="G35" s="0" t="str">
        <f aca="false">IF(ISNUMBER(SEARCH("Σύνολο Χώρας",A35)),"Country Total",IF(ISNUMBER(SEARCH("ΠΕΡΙΦΕΡΕΙΑΚΗ ΕΝΟΤΗΤΑ",A35)),"Regional Unit",IF(ISNUMBER(SEARCH("ΠΕΡΙΦΕΡΕΙΑ",A35)),"Region","Check text")))</f>
        <v>Regional Unit</v>
      </c>
    </row>
    <row r="36" customFormat="false" ht="15.8" hidden="false" customHeight="false" outlineLevel="0" collapsed="false">
      <c r="A36" s="21" t="s">
        <v>69</v>
      </c>
      <c r="B36" s="19" t="n">
        <v>1</v>
      </c>
      <c r="C36" s="19" t="n">
        <v>1</v>
      </c>
      <c r="D36" s="19" t="n">
        <v>1386</v>
      </c>
      <c r="E36" s="19" t="n">
        <v>462</v>
      </c>
      <c r="F36" s="20" t="s">
        <v>70</v>
      </c>
      <c r="G36" s="0" t="str">
        <f aca="false">IF(ISNUMBER(SEARCH("Σύνολο Χώρας",A36)),"Country Total",IF(ISNUMBER(SEARCH("ΠΕΡΙΦΕΡΕΙΑΚΗ ΕΝΟΤΗΤΑ",A36)),"Regional Unit",IF(ISNUMBER(SEARCH("ΠΕΡΙΦΕΡΕΙΑ",A36)),"Region","Check text")))</f>
        <v>Regional Unit</v>
      </c>
    </row>
    <row r="37" customFormat="false" ht="15.8" hidden="false" customHeight="false" outlineLevel="0" collapsed="false">
      <c r="A37" s="21" t="s">
        <v>71</v>
      </c>
      <c r="B37" s="19" t="n">
        <v>3</v>
      </c>
      <c r="C37" s="19" t="n">
        <v>7</v>
      </c>
      <c r="D37" s="19" t="n">
        <v>7801</v>
      </c>
      <c r="E37" s="19" t="n">
        <v>2092</v>
      </c>
      <c r="F37" s="20" t="s">
        <v>72</v>
      </c>
      <c r="G37" s="0" t="str">
        <f aca="false">IF(ISNUMBER(SEARCH("Σύνολο Χώρας",A37)),"Country Total",IF(ISNUMBER(SEARCH("ΠΕΡΙΦΕΡΕΙΑΚΗ ΕΝΟΤΗΤΑ",A37)),"Regional Unit",IF(ISNUMBER(SEARCH("ΠΕΡΙΦΕΡΕΙΑ",A37)),"Region","Check text")))</f>
        <v>Regional Unit</v>
      </c>
    </row>
    <row r="38" customFormat="false" ht="15.8" hidden="false" customHeight="false" outlineLevel="0" collapsed="false">
      <c r="A38" s="22" t="s">
        <v>73</v>
      </c>
      <c r="B38" s="16" t="n">
        <v>43</v>
      </c>
      <c r="C38" s="16" t="n">
        <v>80</v>
      </c>
      <c r="D38" s="16" t="n">
        <v>104878</v>
      </c>
      <c r="E38" s="16" t="n">
        <v>28694</v>
      </c>
      <c r="F38" s="17" t="s">
        <v>74</v>
      </c>
      <c r="G38" s="0" t="str">
        <f aca="false">IF(ISNUMBER(SEARCH("Σύνολο Χώρας",A38)),"Country Total",IF(ISNUMBER(SEARCH("ΠΕΡΙΦΕΡΕΙΑΚΗ ΕΝΟΤΗΤΑ",A38)),"Regional Unit",IF(ISNUMBER(SEARCH("ΠΕΡΙΦΕΡΕΙΑ",A38)),"Region","Check text")))</f>
        <v>Region</v>
      </c>
    </row>
    <row r="39" customFormat="false" ht="15.8" hidden="false" customHeight="false" outlineLevel="0" collapsed="false">
      <c r="A39" s="21" t="s">
        <v>75</v>
      </c>
      <c r="B39" s="19" t="n">
        <v>18</v>
      </c>
      <c r="C39" s="19" t="n">
        <v>41</v>
      </c>
      <c r="D39" s="19" t="n">
        <v>84952</v>
      </c>
      <c r="E39" s="19" t="n">
        <v>22794</v>
      </c>
      <c r="F39" s="20" t="s">
        <v>76</v>
      </c>
      <c r="G39" s="0" t="str">
        <f aca="false">IF(ISNUMBER(SEARCH("Σύνολο Χώρας",A39)),"Country Total",IF(ISNUMBER(SEARCH("ΠΕΡΙΦΕΡΕΙΑΚΗ ΕΝΟΤΗΤΑ",A39)),"Regional Unit",IF(ISNUMBER(SEARCH("ΠΕΡΙΦΕΡΕΙΑ",A39)),"Region","Check text")))</f>
        <v>Regional Unit</v>
      </c>
    </row>
    <row r="40" customFormat="false" ht="15.8" hidden="false" customHeight="false" outlineLevel="0" collapsed="false">
      <c r="A40" s="21" t="s">
        <v>77</v>
      </c>
      <c r="B40" s="19" t="n">
        <v>1</v>
      </c>
      <c r="C40" s="19" t="n">
        <v>1</v>
      </c>
      <c r="D40" s="19" t="n">
        <v>411</v>
      </c>
      <c r="E40" s="19" t="n">
        <v>105</v>
      </c>
      <c r="F40" s="20" t="s">
        <v>78</v>
      </c>
      <c r="G40" s="0" t="str">
        <f aca="false">IF(ISNUMBER(SEARCH("Σύνολο Χώρας",A40)),"Country Total",IF(ISNUMBER(SEARCH("ΠΕΡΙΦΕΡΕΙΑΚΗ ΕΝΟΤΗΤΑ",A40)),"Regional Unit",IF(ISNUMBER(SEARCH("ΠΕΡΙΦΕΡΕΙΑ",A40)),"Region","Check text")))</f>
        <v>Regional Unit</v>
      </c>
    </row>
    <row r="41" customFormat="false" ht="15.8" hidden="false" customHeight="false" outlineLevel="0" collapsed="false">
      <c r="A41" s="21" t="s">
        <v>79</v>
      </c>
      <c r="B41" s="19" t="n">
        <v>16</v>
      </c>
      <c r="C41" s="19" t="n">
        <v>28</v>
      </c>
      <c r="D41" s="19" t="n">
        <v>14233</v>
      </c>
      <c r="E41" s="19" t="n">
        <v>4295</v>
      </c>
      <c r="F41" s="20" t="s">
        <v>80</v>
      </c>
      <c r="G41" s="0" t="str">
        <f aca="false">IF(ISNUMBER(SEARCH("Σύνολο Χώρας",A41)),"Country Total",IF(ISNUMBER(SEARCH("ΠΕΡΙΦΕΡΕΙΑΚΗ ΕΝΟΤΗΤΑ",A41)),"Regional Unit",IF(ISNUMBER(SEARCH("ΠΕΡΙΦΕΡΕΙΑ",A41)),"Region","Check text")))</f>
        <v>Regional Unit</v>
      </c>
    </row>
    <row r="42" customFormat="false" ht="15.8" hidden="false" customHeight="false" outlineLevel="0" collapsed="false">
      <c r="A42" s="21" t="s">
        <v>81</v>
      </c>
      <c r="B42" s="19" t="n">
        <v>8</v>
      </c>
      <c r="C42" s="19" t="n">
        <v>10</v>
      </c>
      <c r="D42" s="19" t="n">
        <v>5282</v>
      </c>
      <c r="E42" s="19" t="n">
        <v>1500</v>
      </c>
      <c r="F42" s="20" t="s">
        <v>82</v>
      </c>
      <c r="G42" s="0" t="str">
        <f aca="false">IF(ISNUMBER(SEARCH("Σύνολο Χώρας",A42)),"Country Total",IF(ISNUMBER(SEARCH("ΠΕΡΙΦΕΡΕΙΑΚΗ ΕΝΟΤΗΤΑ",A42)),"Regional Unit",IF(ISNUMBER(SEARCH("ΠΕΡΙΦΕΡΕΙΑ",A42)),"Region","Check text")))</f>
        <v>Regional Unit</v>
      </c>
    </row>
    <row r="43" customFormat="false" ht="15.8" hidden="false" customHeight="false" outlineLevel="0" collapsed="false">
      <c r="A43" s="22" t="s">
        <v>83</v>
      </c>
      <c r="B43" s="16" t="n">
        <v>54</v>
      </c>
      <c r="C43" s="16" t="n">
        <v>133</v>
      </c>
      <c r="D43" s="16" t="n">
        <v>115799</v>
      </c>
      <c r="E43" s="16" t="n">
        <v>26227</v>
      </c>
      <c r="F43" s="17" t="s">
        <v>84</v>
      </c>
      <c r="G43" s="0" t="str">
        <f aca="false">IF(ISNUMBER(SEARCH("Σύνολο Χώρας",A43)),"Country Total",IF(ISNUMBER(SEARCH("ΠΕΡΙΦΕΡΕΙΑΚΗ ΕΝΟΤΗΤΑ",A43)),"Regional Unit",IF(ISNUMBER(SEARCH("ΠΕΡΙΦΕΡΕΙΑ",A43)),"Region","Check text")))</f>
        <v>Region</v>
      </c>
    </row>
    <row r="44" customFormat="false" ht="15.8" hidden="false" customHeight="false" outlineLevel="0" collapsed="false">
      <c r="A44" s="21" t="s">
        <v>85</v>
      </c>
      <c r="B44" s="19" t="n">
        <v>24</v>
      </c>
      <c r="C44" s="19" t="n">
        <v>69</v>
      </c>
      <c r="D44" s="19" t="n">
        <v>56633</v>
      </c>
      <c r="E44" s="19" t="n">
        <v>10622</v>
      </c>
      <c r="F44" s="20" t="s">
        <v>86</v>
      </c>
      <c r="G44" s="0" t="str">
        <f aca="false">IF(ISNUMBER(SEARCH("Σύνολο Χώρας",A44)),"Country Total",IF(ISNUMBER(SEARCH("ΠΕΡΙΦΕΡΕΙΑΚΗ ΕΝΟΤΗΤΑ",A44)),"Regional Unit",IF(ISNUMBER(SEARCH("ΠΕΡΙΦΕΡΕΙΑ",A44)),"Region","Check text")))</f>
        <v>Regional Unit</v>
      </c>
    </row>
    <row r="45" customFormat="false" ht="15.8" hidden="false" customHeight="false" outlineLevel="0" collapsed="false">
      <c r="A45" s="21" t="s">
        <v>87</v>
      </c>
      <c r="B45" s="19" t="n">
        <v>4</v>
      </c>
      <c r="C45" s="19" t="n">
        <v>11</v>
      </c>
      <c r="D45" s="19" t="n">
        <v>6878</v>
      </c>
      <c r="E45" s="19" t="n">
        <v>2235</v>
      </c>
      <c r="F45" s="20" t="s">
        <v>88</v>
      </c>
      <c r="G45" s="0" t="str">
        <f aca="false">IF(ISNUMBER(SEARCH("Σύνολο Χώρας",A45)),"Country Total",IF(ISNUMBER(SEARCH("ΠΕΡΙΦΕΡΕΙΑΚΗ ΕΝΟΤΗΤΑ",A45)),"Regional Unit",IF(ISNUMBER(SEARCH("ΠΕΡΙΦΕΡΕΙΑ",A45)),"Region","Check text")))</f>
        <v>Regional Unit</v>
      </c>
    </row>
    <row r="46" customFormat="false" ht="15.8" hidden="false" customHeight="false" outlineLevel="0" collapsed="false">
      <c r="A46" s="21" t="s">
        <v>89</v>
      </c>
      <c r="B46" s="19" t="n">
        <v>16</v>
      </c>
      <c r="C46" s="19" t="n">
        <v>31</v>
      </c>
      <c r="D46" s="19" t="n">
        <v>22707</v>
      </c>
      <c r="E46" s="19" t="n">
        <v>6906</v>
      </c>
      <c r="F46" s="20" t="s">
        <v>90</v>
      </c>
      <c r="G46" s="0" t="str">
        <f aca="false">IF(ISNUMBER(SEARCH("Σύνολο Χώρας",A46)),"Country Total",IF(ISNUMBER(SEARCH("ΠΕΡΙΦΕΡΕΙΑΚΗ ΕΝΟΤΗΤΑ",A46)),"Regional Unit",IF(ISNUMBER(SEARCH("ΠΕΡΙΦΕΡΕΙΑ",A46)),"Region","Check text")))</f>
        <v>Regional Unit</v>
      </c>
    </row>
    <row r="47" customFormat="false" ht="15.8" hidden="false" customHeight="false" outlineLevel="0" collapsed="false">
      <c r="A47" s="21" t="s">
        <v>91</v>
      </c>
      <c r="B47" s="19" t="n">
        <v>3</v>
      </c>
      <c r="C47" s="19" t="n">
        <v>6</v>
      </c>
      <c r="D47" s="19" t="n">
        <v>3126</v>
      </c>
      <c r="E47" s="19" t="n">
        <v>990</v>
      </c>
      <c r="F47" s="20" t="s">
        <v>92</v>
      </c>
      <c r="G47" s="0" t="str">
        <f aca="false">IF(ISNUMBER(SEARCH("Σύνολο Χώρας",A47)),"Country Total",IF(ISNUMBER(SEARCH("ΠΕΡΙΦΕΡΕΙΑΚΗ ΕΝΟΤΗΤΑ",A47)),"Regional Unit",IF(ISNUMBER(SEARCH("ΠΕΡΙΦΕΡΕΙΑ",A47)),"Region","Check text")))</f>
        <v>Regional Unit</v>
      </c>
    </row>
    <row r="48" customFormat="false" ht="15.8" hidden="false" customHeight="false" outlineLevel="0" collapsed="false">
      <c r="A48" s="21" t="s">
        <v>93</v>
      </c>
      <c r="B48" s="19" t="n">
        <v>7</v>
      </c>
      <c r="C48" s="19" t="n">
        <v>16</v>
      </c>
      <c r="D48" s="19" t="n">
        <v>26455</v>
      </c>
      <c r="E48" s="19" t="n">
        <v>5474</v>
      </c>
      <c r="F48" s="20" t="s">
        <v>94</v>
      </c>
      <c r="G48" s="0" t="str">
        <f aca="false">IF(ISNUMBER(SEARCH("Σύνολο Χώρας",A48)),"Country Total",IF(ISNUMBER(SEARCH("ΠΕΡΙΦΕΡΕΙΑΚΗ ΕΝΟΤΗΤΑ",A48)),"Regional Unit",IF(ISNUMBER(SEARCH("ΠΕΡΙΦΕΡΕΙΑ",A48)),"Region","Check text")))</f>
        <v>Regional Unit</v>
      </c>
    </row>
    <row r="49" customFormat="false" ht="15.8" hidden="false" customHeight="false" outlineLevel="0" collapsed="false">
      <c r="A49" s="22" t="s">
        <v>95</v>
      </c>
      <c r="B49" s="16" t="n">
        <v>64</v>
      </c>
      <c r="C49" s="16" t="n">
        <v>109</v>
      </c>
      <c r="D49" s="16" t="n">
        <v>151932</v>
      </c>
      <c r="E49" s="16" t="n">
        <v>23455</v>
      </c>
      <c r="F49" s="17" t="s">
        <v>96</v>
      </c>
      <c r="G49" s="0" t="str">
        <f aca="false">IF(ISNUMBER(SEARCH("Σύνολο Χώρας",A49)),"Country Total",IF(ISNUMBER(SEARCH("ΠΕΡΙΦΕΡΕΙΑΚΗ ΕΝΟΤΗΤΑ",A49)),"Regional Unit",IF(ISNUMBER(SEARCH("ΠΕΡΙΦΕΡΕΙΑ",A49)),"Region","Check text")))</f>
        <v>Region</v>
      </c>
    </row>
    <row r="50" customFormat="false" ht="15.8" hidden="false" customHeight="false" outlineLevel="0" collapsed="false">
      <c r="A50" s="21" t="s">
        <v>97</v>
      </c>
      <c r="B50" s="19" t="n">
        <v>4</v>
      </c>
      <c r="C50" s="19" t="n">
        <v>8</v>
      </c>
      <c r="D50" s="19" t="n">
        <v>3508</v>
      </c>
      <c r="E50" s="19" t="n">
        <v>1106</v>
      </c>
      <c r="F50" s="20" t="s">
        <v>98</v>
      </c>
      <c r="G50" s="0" t="str">
        <f aca="false">IF(ISNUMBER(SEARCH("Σύνολο Χώρας",A50)),"Country Total",IF(ISNUMBER(SEARCH("ΠΕΡΙΦΕΡΕΙΑΚΗ ΕΝΟΤΗΤΑ",A50)),"Regional Unit",IF(ISNUMBER(SEARCH("ΠΕΡΙΦΕΡΕΙΑ",A50)),"Region","Check text")))</f>
        <v>Regional Unit</v>
      </c>
    </row>
    <row r="51" customFormat="false" ht="15.8" hidden="false" customHeight="false" outlineLevel="0" collapsed="false">
      <c r="A51" s="21" t="s">
        <v>99</v>
      </c>
      <c r="B51" s="19" t="n">
        <v>6</v>
      </c>
      <c r="C51" s="19" t="n">
        <v>11</v>
      </c>
      <c r="D51" s="19" t="n">
        <v>107761</v>
      </c>
      <c r="E51" s="19" t="n">
        <v>11720</v>
      </c>
      <c r="F51" s="20" t="s">
        <v>100</v>
      </c>
      <c r="G51" s="0" t="str">
        <f aca="false">IF(ISNUMBER(SEARCH("Σύνολο Χώρας",A51)),"Country Total",IF(ISNUMBER(SEARCH("ΠΕΡΙΦΕΡΕΙΑΚΗ ΕΝΟΤΗΤΑ",A51)),"Regional Unit",IF(ISNUMBER(SEARCH("ΠΕΡΙΦΕΡΕΙΑ",A51)),"Region","Check text")))</f>
        <v>Regional Unit</v>
      </c>
    </row>
    <row r="52" customFormat="false" ht="15.8" hidden="false" customHeight="false" outlineLevel="0" collapsed="false">
      <c r="A52" s="21" t="s">
        <v>101</v>
      </c>
      <c r="B52" s="19" t="n">
        <v>47</v>
      </c>
      <c r="C52" s="19" t="n">
        <v>80</v>
      </c>
      <c r="D52" s="19" t="n">
        <v>35764</v>
      </c>
      <c r="E52" s="19" t="n">
        <v>9388</v>
      </c>
      <c r="F52" s="20" t="s">
        <v>102</v>
      </c>
      <c r="G52" s="0" t="str">
        <f aca="false">IF(ISNUMBER(SEARCH("Σύνολο Χώρας",A52)),"Country Total",IF(ISNUMBER(SEARCH("ΠΕΡΙΦΕΡΕΙΑΚΗ ΕΝΟΤΗΤΑ",A52)),"Regional Unit",IF(ISNUMBER(SEARCH("ΠΕΡΙΦΕΡΕΙΑ",A52)),"Region","Check text")))</f>
        <v>Regional Unit</v>
      </c>
    </row>
    <row r="53" customFormat="false" ht="15.8" hidden="false" customHeight="false" outlineLevel="0" collapsed="false">
      <c r="A53" s="21" t="s">
        <v>103</v>
      </c>
      <c r="B53" s="19" t="n">
        <v>4</v>
      </c>
      <c r="C53" s="19" t="n">
        <v>6</v>
      </c>
      <c r="D53" s="19" t="n">
        <v>2584</v>
      </c>
      <c r="E53" s="19" t="n">
        <v>837</v>
      </c>
      <c r="F53" s="20" t="s">
        <v>104</v>
      </c>
      <c r="G53" s="0" t="str">
        <f aca="false">IF(ISNUMBER(SEARCH("Σύνολο Χώρας",A53)),"Country Total",IF(ISNUMBER(SEARCH("ΠΕΡΙΦΕΡΕΙΑΚΗ ΕΝΟΤΗΤΑ",A53)),"Regional Unit",IF(ISNUMBER(SEARCH("ΠΕΡΙΦΕΡΕΙΑ",A53)),"Region","Check text")))</f>
        <v>Regional Unit</v>
      </c>
    </row>
    <row r="54" customFormat="false" ht="15.8" hidden="false" customHeight="false" outlineLevel="0" collapsed="false">
      <c r="A54" s="21" t="s">
        <v>105</v>
      </c>
      <c r="B54" s="19" t="n">
        <v>3</v>
      </c>
      <c r="C54" s="19" t="n">
        <v>4</v>
      </c>
      <c r="D54" s="19" t="n">
        <v>2315</v>
      </c>
      <c r="E54" s="19" t="n">
        <v>404</v>
      </c>
      <c r="F54" s="20" t="s">
        <v>106</v>
      </c>
      <c r="G54" s="0" t="str">
        <f aca="false">IF(ISNUMBER(SEARCH("Σύνολο Χώρας",A54)),"Country Total",IF(ISNUMBER(SEARCH("ΠΕΡΙΦΕΡΕΙΑΚΗ ΕΝΟΤΗΤΑ",A54)),"Regional Unit",IF(ISNUMBER(SEARCH("ΠΕΡΙΦΕΡΕΙΑ",A54)),"Region","Check text")))</f>
        <v>Regional Unit</v>
      </c>
    </row>
    <row r="55" customFormat="false" ht="15.8" hidden="false" customHeight="false" outlineLevel="0" collapsed="false">
      <c r="A55" s="22" t="s">
        <v>107</v>
      </c>
      <c r="B55" s="16" t="n">
        <v>247</v>
      </c>
      <c r="C55" s="16" t="n">
        <v>415</v>
      </c>
      <c r="D55" s="16" t="n">
        <v>185976</v>
      </c>
      <c r="E55" s="16" t="n">
        <v>54631</v>
      </c>
      <c r="F55" s="17" t="s">
        <v>108</v>
      </c>
      <c r="G55" s="0" t="str">
        <f aca="false">IF(ISNUMBER(SEARCH("Σύνολο Χώρας",A55)),"Country Total",IF(ISNUMBER(SEARCH("ΠΕΡΙΦΕΡΕΙΑΚΗ ΕΝΟΤΗΤΑ",A55)),"Regional Unit",IF(ISNUMBER(SEARCH("ΠΕΡΙΦΕΡΕΙΑ",A55)),"Region","Check text")))</f>
        <v>Region</v>
      </c>
    </row>
    <row r="56" customFormat="false" ht="15.8" hidden="false" customHeight="false" outlineLevel="0" collapsed="false">
      <c r="A56" s="21" t="s">
        <v>109</v>
      </c>
      <c r="B56" s="19" t="n">
        <v>102</v>
      </c>
      <c r="C56" s="19" t="n">
        <v>180</v>
      </c>
      <c r="D56" s="19" t="n">
        <v>78751</v>
      </c>
      <c r="E56" s="19" t="n">
        <v>23310</v>
      </c>
      <c r="F56" s="20" t="s">
        <v>110</v>
      </c>
      <c r="G56" s="0" t="str">
        <f aca="false">IF(ISNUMBER(SEARCH("Σύνολο Χώρας",A56)),"Country Total",IF(ISNUMBER(SEARCH("ΠΕΡΙΦΕΡΕΙΑΚΗ ΕΝΟΤΗΤΑ",A56)),"Regional Unit",IF(ISNUMBER(SEARCH("ΠΕΡΙΦΕΡΕΙΑ",A56)),"Region","Check text")))</f>
        <v>Regional Unit</v>
      </c>
    </row>
    <row r="57" customFormat="false" ht="15.8" hidden="false" customHeight="false" outlineLevel="0" collapsed="false">
      <c r="A57" s="21" t="s">
        <v>111</v>
      </c>
      <c r="B57" s="19" t="n">
        <v>30</v>
      </c>
      <c r="C57" s="19" t="n">
        <v>47</v>
      </c>
      <c r="D57" s="19" t="n">
        <v>23152</v>
      </c>
      <c r="E57" s="19" t="n">
        <v>7541</v>
      </c>
      <c r="F57" s="20" t="s">
        <v>112</v>
      </c>
      <c r="G57" s="0" t="str">
        <f aca="false">IF(ISNUMBER(SEARCH("Σύνολο Χώρας",A57)),"Country Total",IF(ISNUMBER(SEARCH("ΠΕΡΙΦΕΡΕΙΑΚΗ ΕΝΟΤΗΤΑ",A57)),"Regional Unit",IF(ISNUMBER(SEARCH("ΠΕΡΙΦΕΡΕΙΑ",A57)),"Region","Check text")))</f>
        <v>Regional Unit</v>
      </c>
    </row>
    <row r="58" customFormat="false" ht="15.8" hidden="false" customHeight="false" outlineLevel="0" collapsed="false">
      <c r="A58" s="21" t="s">
        <v>113</v>
      </c>
      <c r="B58" s="19" t="n">
        <v>2</v>
      </c>
      <c r="C58" s="19" t="n">
        <v>3</v>
      </c>
      <c r="D58" s="19" t="n">
        <v>749</v>
      </c>
      <c r="E58" s="19" t="n">
        <v>238</v>
      </c>
      <c r="F58" s="20" t="s">
        <v>114</v>
      </c>
      <c r="G58" s="0" t="str">
        <f aca="false">IF(ISNUMBER(SEARCH("Σύνολο Χώρας",A58)),"Country Total",IF(ISNUMBER(SEARCH("ΠΕΡΙΦΕΡΕΙΑΚΗ ΕΝΟΤΗΤΑ",A58)),"Regional Unit",IF(ISNUMBER(SEARCH("ΠΕΡΙΦΕΡΕΙΑ",A58)),"Region","Check text")))</f>
        <v>Regional Unit</v>
      </c>
    </row>
    <row r="59" customFormat="false" ht="15.8" hidden="false" customHeight="false" outlineLevel="0" collapsed="false">
      <c r="A59" s="21" t="s">
        <v>115</v>
      </c>
      <c r="B59" s="19" t="n">
        <v>41</v>
      </c>
      <c r="C59" s="19" t="n">
        <v>66</v>
      </c>
      <c r="D59" s="19" t="n">
        <v>24498</v>
      </c>
      <c r="E59" s="19" t="n">
        <v>7752</v>
      </c>
      <c r="F59" s="20" t="s">
        <v>116</v>
      </c>
      <c r="G59" s="0" t="str">
        <f aca="false">IF(ISNUMBER(SEARCH("Σύνολο Χώρας",A59)),"Country Total",IF(ISNUMBER(SEARCH("ΠΕΡΙΦΕΡΕΙΑΚΗ ΕΝΟΤΗΤΑ",A59)),"Regional Unit",IF(ISNUMBER(SEARCH("ΠΕΡΙΦΕΡΕΙΑ",A59)),"Region","Check text")))</f>
        <v>Regional Unit</v>
      </c>
    </row>
    <row r="60" customFormat="false" ht="15.8" hidden="false" customHeight="false" outlineLevel="0" collapsed="false">
      <c r="A60" s="21" t="s">
        <v>117</v>
      </c>
      <c r="B60" s="19" t="n">
        <v>72</v>
      </c>
      <c r="C60" s="19" t="n">
        <v>119</v>
      </c>
      <c r="D60" s="19" t="n">
        <v>58826</v>
      </c>
      <c r="E60" s="19" t="n">
        <v>15790</v>
      </c>
      <c r="F60" s="20" t="s">
        <v>118</v>
      </c>
      <c r="G60" s="0" t="str">
        <f aca="false">IF(ISNUMBER(SEARCH("Σύνολο Χώρας",A60)),"Country Total",IF(ISNUMBER(SEARCH("ΠΕΡΙΦΕΡΕΙΑΚΗ ΕΝΟΤΗΤΑ",A60)),"Regional Unit",IF(ISNUMBER(SEARCH("ΠΕΡΙΦΕΡΕΙΑ",A60)),"Region","Check text")))</f>
        <v>Regional Unit</v>
      </c>
    </row>
    <row r="61" customFormat="false" ht="15.8" hidden="false" customHeight="false" outlineLevel="0" collapsed="false">
      <c r="A61" s="22" t="s">
        <v>119</v>
      </c>
      <c r="B61" s="16" t="n">
        <v>72</v>
      </c>
      <c r="C61" s="16" t="n">
        <v>120</v>
      </c>
      <c r="D61" s="16" t="n">
        <v>75356</v>
      </c>
      <c r="E61" s="16" t="n">
        <v>18163</v>
      </c>
      <c r="F61" s="17" t="s">
        <v>120</v>
      </c>
      <c r="G61" s="0" t="str">
        <f aca="false">IF(ISNUMBER(SEARCH("Σύνολο Χώρας",A61)),"Country Total",IF(ISNUMBER(SEARCH("ΠΕΡΙΦΕΡΕΙΑΚΗ ΕΝΟΤΗΤΑ",A61)),"Regional Unit",IF(ISNUMBER(SEARCH("ΠΕΡΙΦΕΡΕΙΑ",A61)),"Region","Check text")))</f>
        <v>Region</v>
      </c>
    </row>
    <row r="62" customFormat="false" ht="15.8" hidden="false" customHeight="false" outlineLevel="0" collapsed="false">
      <c r="A62" s="21" t="s">
        <v>121</v>
      </c>
      <c r="B62" s="19" t="n">
        <v>29</v>
      </c>
      <c r="C62" s="19" t="n">
        <v>56</v>
      </c>
      <c r="D62" s="19" t="n">
        <v>35576</v>
      </c>
      <c r="E62" s="19" t="n">
        <v>9066</v>
      </c>
      <c r="F62" s="20" t="s">
        <v>122</v>
      </c>
      <c r="G62" s="0" t="str">
        <f aca="false">IF(ISNUMBER(SEARCH("Σύνολο Χώρας",A62)),"Country Total",IF(ISNUMBER(SEARCH("ΠΕΡΙΦΕΡΕΙΑΚΗ ΕΝΟΤΗΤΑ",A62)),"Regional Unit",IF(ISNUMBER(SEARCH("ΠΕΡΙΦΕΡΕΙΑ",A62)),"Region","Check text")))</f>
        <v>Regional Unit</v>
      </c>
    </row>
    <row r="63" customFormat="false" ht="15.8" hidden="false" customHeight="false" outlineLevel="0" collapsed="false">
      <c r="A63" s="21" t="s">
        <v>123</v>
      </c>
      <c r="B63" s="19" t="n">
        <v>23</v>
      </c>
      <c r="C63" s="19" t="n">
        <v>34</v>
      </c>
      <c r="D63" s="19" t="n">
        <v>27811</v>
      </c>
      <c r="E63" s="19" t="n">
        <v>5786</v>
      </c>
      <c r="F63" s="20" t="s">
        <v>124</v>
      </c>
      <c r="G63" s="0" t="str">
        <f aca="false">IF(ISNUMBER(SEARCH("Σύνολο Χώρας",A63)),"Country Total",IF(ISNUMBER(SEARCH("ΠΕΡΙΦΕΡΕΙΑΚΗ ΕΝΟΤΗΤΑ",A63)),"Regional Unit",IF(ISNUMBER(SEARCH("ΠΕΡΙΦΕΡΕΙΑ",A63)),"Region","Check text")))</f>
        <v>Regional Unit</v>
      </c>
    </row>
    <row r="64" customFormat="false" ht="15.8" hidden="false" customHeight="false" outlineLevel="0" collapsed="false">
      <c r="A64" s="21" t="s">
        <v>125</v>
      </c>
      <c r="B64" s="19" t="n">
        <v>20</v>
      </c>
      <c r="C64" s="19" t="n">
        <v>30</v>
      </c>
      <c r="D64" s="19" t="n">
        <v>11969</v>
      </c>
      <c r="E64" s="19" t="n">
        <v>3311</v>
      </c>
      <c r="F64" s="20" t="s">
        <v>126</v>
      </c>
      <c r="G64" s="0" t="str">
        <f aca="false">IF(ISNUMBER(SEARCH("Σύνολο Χώρας",A64)),"Country Total",IF(ISNUMBER(SEARCH("ΠΕΡΙΦΕΡΕΙΑΚΗ ΕΝΟΤΗΤΑ",A64)),"Regional Unit",IF(ISNUMBER(SEARCH("ΠΕΡΙΦΕΡΕΙΑ",A64)),"Region","Check text")))</f>
        <v>Regional Unit</v>
      </c>
    </row>
    <row r="65" customFormat="false" ht="15.8" hidden="false" customHeight="false" outlineLevel="0" collapsed="false">
      <c r="A65" s="22" t="s">
        <v>127</v>
      </c>
      <c r="B65" s="16" t="n">
        <v>111</v>
      </c>
      <c r="C65" s="16" t="n">
        <v>213</v>
      </c>
      <c r="D65" s="16" t="n">
        <v>146885</v>
      </c>
      <c r="E65" s="16" t="n">
        <v>38099</v>
      </c>
      <c r="F65" s="17" t="s">
        <v>128</v>
      </c>
      <c r="G65" s="0" t="str">
        <f aca="false">IF(ISNUMBER(SEARCH("Σύνολο Χώρας",A65)),"Country Total",IF(ISNUMBER(SEARCH("ΠΕΡΙΦΕΡΕΙΑΚΗ ΕΝΟΤΗΤΑ",A65)),"Regional Unit",IF(ISNUMBER(SEARCH("ΠΕΡΙΦΕΡΕΙΑ",A65)),"Region","Check text")))</f>
        <v>Region</v>
      </c>
    </row>
    <row r="66" customFormat="false" ht="15.8" hidden="false" customHeight="false" outlineLevel="0" collapsed="false">
      <c r="A66" s="21" t="s">
        <v>129</v>
      </c>
      <c r="B66" s="19" t="n">
        <v>16</v>
      </c>
      <c r="C66" s="19" t="n">
        <v>33</v>
      </c>
      <c r="D66" s="19" t="n">
        <v>24524</v>
      </c>
      <c r="E66" s="19" t="n">
        <v>6772</v>
      </c>
      <c r="F66" s="20" t="s">
        <v>130</v>
      </c>
      <c r="G66" s="0" t="str">
        <f aca="false">IF(ISNUMBER(SEARCH("Σύνολο Χώρας",A66)),"Country Total",IF(ISNUMBER(SEARCH("ΠΕΡΙΦΕΡΕΙΑΚΗ ΕΝΟΤΗΤΑ",A66)),"Regional Unit",IF(ISNUMBER(SEARCH("ΠΕΡΙΦΕΡΕΙΑ",A66)),"Region","Check text")))</f>
        <v>Regional Unit</v>
      </c>
    </row>
    <row r="67" customFormat="false" ht="15.8" hidden="false" customHeight="false" outlineLevel="0" collapsed="false">
      <c r="A67" s="21" t="s">
        <v>131</v>
      </c>
      <c r="B67" s="19" t="n">
        <v>25</v>
      </c>
      <c r="C67" s="19" t="n">
        <v>43</v>
      </c>
      <c r="D67" s="19" t="n">
        <v>27356</v>
      </c>
      <c r="E67" s="19" t="n">
        <v>7754</v>
      </c>
      <c r="F67" s="20" t="s">
        <v>132</v>
      </c>
      <c r="G67" s="0" t="str">
        <f aca="false">IF(ISNUMBER(SEARCH("Σύνολο Χώρας",A67)),"Country Total",IF(ISNUMBER(SEARCH("ΠΕΡΙΦΕΡΕΙΑΚΗ ΕΝΟΤΗΤΑ",A67)),"Regional Unit",IF(ISNUMBER(SEARCH("ΠΕΡΙΦΕΡΕΙΑ",A67)),"Region","Check text")))</f>
        <v>Regional Unit</v>
      </c>
    </row>
    <row r="68" customFormat="false" ht="15.8" hidden="false" customHeight="false" outlineLevel="0" collapsed="false">
      <c r="A68" s="21" t="s">
        <v>133</v>
      </c>
      <c r="B68" s="19" t="n">
        <v>11</v>
      </c>
      <c r="C68" s="19" t="n">
        <v>30</v>
      </c>
      <c r="D68" s="19" t="n">
        <v>13383</v>
      </c>
      <c r="E68" s="19" t="n">
        <v>4020</v>
      </c>
      <c r="F68" s="20" t="s">
        <v>134</v>
      </c>
      <c r="G68" s="0" t="str">
        <f aca="false">IF(ISNUMBER(SEARCH("Σύνολο Χώρας",A68)),"Country Total",IF(ISNUMBER(SEARCH("ΠΕΡΙΦΕΡΕΙΑΚΗ ΕΝΟΤΗΤΑ",A68)),"Regional Unit",IF(ISNUMBER(SEARCH("ΠΕΡΙΦΕΡΕΙΑ",A68)),"Region","Check text")))</f>
        <v>Regional Unit</v>
      </c>
    </row>
    <row r="69" customFormat="false" ht="15.8" hidden="false" customHeight="false" outlineLevel="0" collapsed="false">
      <c r="A69" s="21" t="s">
        <v>135</v>
      </c>
      <c r="B69" s="19" t="n">
        <v>17</v>
      </c>
      <c r="C69" s="19" t="n">
        <v>32</v>
      </c>
      <c r="D69" s="19" t="n">
        <v>37582</v>
      </c>
      <c r="E69" s="19" t="n">
        <v>8121</v>
      </c>
      <c r="F69" s="20" t="s">
        <v>136</v>
      </c>
      <c r="G69" s="0" t="str">
        <f aca="false">IF(ISNUMBER(SEARCH("Σύνολο Χώρας",A69)),"Country Total",IF(ISNUMBER(SEARCH("ΠΕΡΙΦΕΡΕΙΑΚΗ ΕΝΟΤΗΤΑ",A69)),"Regional Unit",IF(ISNUMBER(SEARCH("ΠΕΡΙΦΕΡΕΙΑ",A69)),"Region","Check text")))</f>
        <v>Regional Unit</v>
      </c>
    </row>
    <row r="70" customFormat="false" ht="15.8" hidden="false" customHeight="false" outlineLevel="0" collapsed="false">
      <c r="A70" s="21" t="s">
        <v>137</v>
      </c>
      <c r="B70" s="19" t="n">
        <v>42</v>
      </c>
      <c r="C70" s="19" t="n">
        <v>75</v>
      </c>
      <c r="D70" s="19" t="n">
        <v>44040</v>
      </c>
      <c r="E70" s="19" t="n">
        <v>11432</v>
      </c>
      <c r="F70" s="20" t="s">
        <v>138</v>
      </c>
      <c r="G70" s="0" t="str">
        <f aca="false">IF(ISNUMBER(SEARCH("Σύνολο Χώρας",A70)),"Country Total",IF(ISNUMBER(SEARCH("ΠΕΡΙΦΕΡΕΙΑΚΗ ΕΝΟΤΗΤΑ",A70)),"Regional Unit",IF(ISNUMBER(SEARCH("ΠΕΡΙΦΕΡΕΙΑ",A70)),"Region","Check text")))</f>
        <v>Regional Unit</v>
      </c>
    </row>
    <row r="71" customFormat="false" ht="15.8" hidden="false" customHeight="false" outlineLevel="0" collapsed="false">
      <c r="A71" s="22" t="s">
        <v>139</v>
      </c>
      <c r="B71" s="16" t="n">
        <v>31</v>
      </c>
      <c r="C71" s="16" t="n">
        <v>53</v>
      </c>
      <c r="D71" s="16" t="n">
        <v>25273</v>
      </c>
      <c r="E71" s="16" t="n">
        <v>7076</v>
      </c>
      <c r="F71" s="17" t="s">
        <v>140</v>
      </c>
      <c r="G71" s="0" t="str">
        <f aca="false">IF(ISNUMBER(SEARCH("Σύνολο Χώρας",A71)),"Country Total",IF(ISNUMBER(SEARCH("ΠΕΡΙΦΕΡΕΙΑΚΗ ΕΝΟΤΗΤΑ",A71)),"Regional Unit",IF(ISNUMBER(SEARCH("ΠΕΡΙΦΕΡΕΙΑ",A71)),"Region","Check text")))</f>
        <v>Region</v>
      </c>
    </row>
    <row r="72" customFormat="false" ht="15.8" hidden="false" customHeight="false" outlineLevel="0" collapsed="false">
      <c r="A72" s="21" t="s">
        <v>141</v>
      </c>
      <c r="B72" s="19" t="n">
        <v>7</v>
      </c>
      <c r="C72" s="19" t="n">
        <v>12</v>
      </c>
      <c r="D72" s="19" t="n">
        <v>5145</v>
      </c>
      <c r="E72" s="19" t="n">
        <v>1539</v>
      </c>
      <c r="F72" s="20" t="s">
        <v>142</v>
      </c>
      <c r="G72" s="0" t="str">
        <f aca="false">IF(ISNUMBER(SEARCH("Σύνολο Χώρας",A72)),"Country Total",IF(ISNUMBER(SEARCH("ΠΕΡΙΦΕΡΕΙΑΚΗ ΕΝΟΤΗΤΑ",A72)),"Regional Unit",IF(ISNUMBER(SEARCH("ΠΕΡΙΦΕΡΕΙΑ",A72)),"Region","Check text")))</f>
        <v>Regional Unit</v>
      </c>
    </row>
    <row r="73" customFormat="false" ht="15.8" hidden="false" customHeight="false" outlineLevel="0" collapsed="false">
      <c r="A73" s="21" t="s">
        <v>143</v>
      </c>
      <c r="B73" s="19" t="n">
        <v>1</v>
      </c>
      <c r="C73" s="19" t="n">
        <v>2</v>
      </c>
      <c r="D73" s="19" t="n">
        <v>1220</v>
      </c>
      <c r="E73" s="19" t="n">
        <v>373</v>
      </c>
      <c r="F73" s="20" t="s">
        <v>144</v>
      </c>
      <c r="G73" s="0" t="str">
        <f aca="false">IF(ISNUMBER(SEARCH("Σύνολο Χώρας",A73)),"Country Total",IF(ISNUMBER(SEARCH("ΠΕΡΙΦΕΡΕΙΑΚΗ ΕΝΟΤΗΤΑ",A73)),"Regional Unit",IF(ISNUMBER(SEARCH("ΠΕΡΙΦΕΡΕΙΑ",A73)),"Region","Check text")))</f>
        <v>Regional Unit</v>
      </c>
    </row>
    <row r="74" customFormat="false" ht="15.8" hidden="false" customHeight="false" outlineLevel="0" collapsed="false">
      <c r="A74" s="21" t="s">
        <v>145</v>
      </c>
      <c r="B74" s="19" t="n">
        <v>9</v>
      </c>
      <c r="C74" s="19" t="n">
        <v>17</v>
      </c>
      <c r="D74" s="19" t="n">
        <v>9170</v>
      </c>
      <c r="E74" s="19" t="n">
        <v>2733</v>
      </c>
      <c r="F74" s="20" t="s">
        <v>146</v>
      </c>
      <c r="G74" s="0" t="str">
        <f aca="false">IF(ISNUMBER(SEARCH("Σύνολο Χώρας",A74)),"Country Total",IF(ISNUMBER(SEARCH("ΠΕΡΙΦΕΡΕΙΑΚΗ ΕΝΟΤΗΤΑ",A74)),"Regional Unit",IF(ISNUMBER(SEARCH("ΠΕΡΙΦΕΡΕΙΑ",A74)),"Region","Check text")))</f>
        <v>Regional Unit</v>
      </c>
    </row>
    <row r="75" customFormat="false" ht="15.8" hidden="false" customHeight="false" outlineLevel="0" collapsed="false">
      <c r="A75" s="21" t="s">
        <v>147</v>
      </c>
      <c r="B75" s="19" t="n">
        <v>7</v>
      </c>
      <c r="C75" s="19" t="n">
        <v>12</v>
      </c>
      <c r="D75" s="19" t="n">
        <v>6255</v>
      </c>
      <c r="E75" s="19" t="n">
        <v>1310</v>
      </c>
      <c r="F75" s="20" t="s">
        <v>148</v>
      </c>
      <c r="G75" s="0" t="str">
        <f aca="false">IF(ISNUMBER(SEARCH("Σύνολο Χώρας",A75)),"Country Total",IF(ISNUMBER(SEARCH("ΠΕΡΙΦΕΡΕΙΑΚΗ ΕΝΟΤΗΤΑ",A75)),"Regional Unit",IF(ISNUMBER(SEARCH("ΠΕΡΙΦΕΡΕΙΑ",A75)),"Region","Check text")))</f>
        <v>Regional Unit</v>
      </c>
    </row>
    <row r="76" customFormat="false" ht="15.8" hidden="false" customHeight="false" outlineLevel="0" collapsed="false">
      <c r="A76" s="21" t="s">
        <v>149</v>
      </c>
      <c r="B76" s="19" t="n">
        <v>7</v>
      </c>
      <c r="C76" s="19" t="n">
        <v>10</v>
      </c>
      <c r="D76" s="19" t="n">
        <v>3483</v>
      </c>
      <c r="E76" s="19" t="n">
        <v>1121</v>
      </c>
      <c r="F76" s="20" t="s">
        <v>150</v>
      </c>
      <c r="G76" s="0" t="str">
        <f aca="false">IF(ISNUMBER(SEARCH("Σύνολο Χώρας",A76)),"Country Total",IF(ISNUMBER(SEARCH("ΠΕΡΙΦΕΡΕΙΑΚΗ ΕΝΟΤΗΤΑ",A76)),"Regional Unit",IF(ISNUMBER(SEARCH("ΠΕΡΙΦΕΡΕΙΑ",A76)),"Region","Check text")))</f>
        <v>Regional Unit</v>
      </c>
    </row>
    <row r="77" customFormat="false" ht="15.8" hidden="false" customHeight="false" outlineLevel="0" collapsed="false">
      <c r="A77" s="22" t="s">
        <v>151</v>
      </c>
      <c r="B77" s="16" t="n">
        <v>127</v>
      </c>
      <c r="C77" s="16" t="n">
        <v>192</v>
      </c>
      <c r="D77" s="16" t="n">
        <v>152402</v>
      </c>
      <c r="E77" s="16" t="n">
        <v>43520</v>
      </c>
      <c r="F77" s="17" t="s">
        <v>152</v>
      </c>
      <c r="G77" s="0" t="str">
        <f aca="false">IF(ISNUMBER(SEARCH("Σύνολο Χώρας",A77)),"Country Total",IF(ISNUMBER(SEARCH("ΠΕΡΙΦΕΡΕΙΑΚΗ ΕΝΟΤΗΤΑ",A77)),"Regional Unit",IF(ISNUMBER(SEARCH("ΠΕΡΙΦΕΡΕΙΑ",A77)),"Region","Check text")))</f>
        <v>Region</v>
      </c>
    </row>
    <row r="78" customFormat="false" ht="15.8" hidden="false" customHeight="false" outlineLevel="0" collapsed="false">
      <c r="A78" s="21" t="s">
        <v>153</v>
      </c>
      <c r="B78" s="19" t="n">
        <v>2</v>
      </c>
      <c r="C78" s="19" t="n">
        <v>3</v>
      </c>
      <c r="D78" s="19" t="n">
        <v>1937</v>
      </c>
      <c r="E78" s="19" t="n">
        <v>570</v>
      </c>
      <c r="F78" s="20" t="s">
        <v>154</v>
      </c>
      <c r="G78" s="0" t="str">
        <f aca="false">IF(ISNUMBER(SEARCH("Σύνολο Χώρας",A78)),"Country Total",IF(ISNUMBER(SEARCH("ΠΕΡΙΦΕΡΕΙΑΚΗ ΕΝΟΤΗΤΑ",A78)),"Regional Unit",IF(ISNUMBER(SEARCH("ΠΕΡΙΦΕΡΕΙΑ",A78)),"Region","Check text")))</f>
        <v>Regional Unit</v>
      </c>
    </row>
    <row r="79" customFormat="false" ht="15.8" hidden="false" customHeight="false" outlineLevel="0" collapsed="false">
      <c r="A79" s="21" t="s">
        <v>155</v>
      </c>
      <c r="B79" s="19" t="n">
        <v>5</v>
      </c>
      <c r="C79" s="19" t="n">
        <v>7</v>
      </c>
      <c r="D79" s="19" t="n">
        <v>3596</v>
      </c>
      <c r="E79" s="19" t="n">
        <v>1070</v>
      </c>
      <c r="F79" s="20" t="s">
        <v>156</v>
      </c>
      <c r="G79" s="0" t="str">
        <f aca="false">IF(ISNUMBER(SEARCH("Σύνολο Χώρας",A79)),"Country Total",IF(ISNUMBER(SEARCH("ΠΕΡΙΦΕΡΕΙΑΚΗ ΕΝΟΤΗΤΑ",A79)),"Regional Unit",IF(ISNUMBER(SEARCH("ΠΕΡΙΦΕΡΕΙΑ",A79)),"Region","Check text")))</f>
        <v>Regional Unit</v>
      </c>
    </row>
    <row r="80" customFormat="false" ht="15.8" hidden="false" customHeight="false" outlineLevel="0" collapsed="false">
      <c r="A80" s="21" t="s">
        <v>157</v>
      </c>
      <c r="B80" s="19" t="n">
        <v>10</v>
      </c>
      <c r="C80" s="19" t="n">
        <v>13</v>
      </c>
      <c r="D80" s="19" t="n">
        <v>5731</v>
      </c>
      <c r="E80" s="19" t="n">
        <v>1598</v>
      </c>
      <c r="F80" s="20" t="s">
        <v>158</v>
      </c>
      <c r="G80" s="0" t="str">
        <f aca="false">IF(ISNUMBER(SEARCH("Σύνολο Χώρας",A80)),"Country Total",IF(ISNUMBER(SEARCH("ΠΕΡΙΦΕΡΕΙΑΚΗ ΕΝΟΤΗΤΑ",A80)),"Regional Unit",IF(ISNUMBER(SEARCH("ΠΕΡΙΦΕΡΕΙΑ",A80)),"Region","Check text")))</f>
        <v>Regional Unit</v>
      </c>
    </row>
    <row r="81" customFormat="false" ht="15.8" hidden="false" customHeight="false" outlineLevel="0" collapsed="false">
      <c r="A81" s="21" t="s">
        <v>159</v>
      </c>
      <c r="B81" s="19" t="n">
        <v>3</v>
      </c>
      <c r="C81" s="19" t="n">
        <v>4</v>
      </c>
      <c r="D81" s="19" t="n">
        <v>1050</v>
      </c>
      <c r="E81" s="19" t="n">
        <v>332</v>
      </c>
      <c r="F81" s="20" t="s">
        <v>160</v>
      </c>
      <c r="G81" s="0" t="str">
        <f aca="false">IF(ISNUMBER(SEARCH("Σύνολο Χώρας",A81)),"Country Total",IF(ISNUMBER(SEARCH("ΠΕΡΙΦΕΡΕΙΑΚΗ ΕΝΟΤΗΤΑ",A81)),"Regional Unit",IF(ISNUMBER(SEARCH("ΠΕΡΙΦΕΡΕΙΑ",A81)),"Region","Check text")))</f>
        <v>Regional Unit</v>
      </c>
    </row>
    <row r="82" customFormat="false" ht="14.25" hidden="false" customHeight="true" outlineLevel="0" collapsed="false">
      <c r="A82" s="21" t="s">
        <v>161</v>
      </c>
      <c r="B82" s="19" t="n">
        <v>6</v>
      </c>
      <c r="C82" s="19" t="n">
        <v>8</v>
      </c>
      <c r="D82" s="19" t="n">
        <v>5029</v>
      </c>
      <c r="E82" s="19" t="n">
        <v>1474</v>
      </c>
      <c r="F82" s="20" t="s">
        <v>162</v>
      </c>
      <c r="G82" s="0" t="str">
        <f aca="false">IF(ISNUMBER(SEARCH("Σύνολο Χώρας",A82)),"Country Total",IF(ISNUMBER(SEARCH("ΠΕΡΙΦΕΡΕΙΑΚΗ ΕΝΟΤΗΤΑ",A82)),"Regional Unit",IF(ISNUMBER(SEARCH("ΠΕΡΙΦΕΡΕΙΑ",A82)),"Region","Check text")))</f>
        <v>Regional Unit</v>
      </c>
    </row>
    <row r="83" customFormat="false" ht="14.4" hidden="false" customHeight="true" outlineLevel="0" collapsed="false">
      <c r="A83" s="21" t="s">
        <v>163</v>
      </c>
      <c r="B83" s="19" t="n">
        <v>10</v>
      </c>
      <c r="C83" s="19" t="n">
        <v>12</v>
      </c>
      <c r="D83" s="19" t="n">
        <v>6667</v>
      </c>
      <c r="E83" s="19" t="n">
        <v>1888</v>
      </c>
      <c r="F83" s="20" t="s">
        <v>164</v>
      </c>
      <c r="G83" s="0" t="str">
        <f aca="false">IF(ISNUMBER(SEARCH("Σύνολο Χώρας",A83)),"Country Total",IF(ISNUMBER(SEARCH("ΠΕΡΙΦΕΡΕΙΑΚΗ ΕΝΟΤΗΤΑ",A83)),"Regional Unit",IF(ISNUMBER(SEARCH("ΠΕΡΙΦΕΡΕΙΑ",A83)),"Region","Check text")))</f>
        <v>Regional Unit</v>
      </c>
    </row>
    <row r="84" customFormat="false" ht="14.4" hidden="false" customHeight="true" outlineLevel="0" collapsed="false">
      <c r="A84" s="21" t="s">
        <v>165</v>
      </c>
      <c r="B84" s="19" t="n">
        <v>4</v>
      </c>
      <c r="C84" s="19" t="n">
        <v>9</v>
      </c>
      <c r="D84" s="19" t="n">
        <v>5597</v>
      </c>
      <c r="E84" s="19" t="n">
        <v>1481</v>
      </c>
      <c r="F84" s="20" t="s">
        <v>166</v>
      </c>
      <c r="G84" s="0" t="str">
        <f aca="false">IF(ISNUMBER(SEARCH("Σύνολο Χώρας",A84)),"Country Total",IF(ISNUMBER(SEARCH("ΠΕΡΙΦΕΡΕΙΑΚΗ ΕΝΟΤΗΤΑ",A84)),"Regional Unit",IF(ISNUMBER(SEARCH("ΠΕΡΙΦΕΡΕΙΑ",A84)),"Region","Check text")))</f>
        <v>Regional Unit</v>
      </c>
    </row>
    <row r="85" customFormat="false" ht="14.4" hidden="false" customHeight="true" outlineLevel="0" collapsed="false">
      <c r="A85" s="21" t="s">
        <v>167</v>
      </c>
      <c r="B85" s="19" t="n">
        <v>8</v>
      </c>
      <c r="C85" s="19" t="n">
        <v>13</v>
      </c>
      <c r="D85" s="19" t="n">
        <v>6716</v>
      </c>
      <c r="E85" s="19" t="n">
        <v>2032</v>
      </c>
      <c r="F85" s="20" t="s">
        <v>168</v>
      </c>
      <c r="G85" s="0" t="str">
        <f aca="false">IF(ISNUMBER(SEARCH("Σύνολο Χώρας",A85)),"Country Total",IF(ISNUMBER(SEARCH("ΠΕΡΙΦΕΡΕΙΑΚΗ ΕΝΟΤΗΤΑ",A85)),"Regional Unit",IF(ISNUMBER(SEARCH("ΠΕΡΙΦΕΡΕΙΑ",A85)),"Region","Check text")))</f>
        <v>Regional Unit</v>
      </c>
    </row>
    <row r="86" customFormat="false" ht="14.4" hidden="false" customHeight="true" outlineLevel="0" collapsed="false">
      <c r="A86" s="21" t="s">
        <v>169</v>
      </c>
      <c r="B86" s="19" t="n">
        <v>6</v>
      </c>
      <c r="C86" s="19" t="n">
        <v>12</v>
      </c>
      <c r="D86" s="19" t="n">
        <v>11300</v>
      </c>
      <c r="E86" s="19" t="n">
        <v>3123</v>
      </c>
      <c r="F86" s="20" t="s">
        <v>170</v>
      </c>
      <c r="G86" s="0" t="str">
        <f aca="false">IF(ISNUMBER(SEARCH("Σύνολο Χώρας",A86)),"Country Total",IF(ISNUMBER(SEARCH("ΠΕΡΙΦΕΡΕΙΑΚΗ ΕΝΟΤΗΤΑ",A86)),"Regional Unit",IF(ISNUMBER(SEARCH("ΠΕΡΙΦΕΡΕΙΑ",A86)),"Region","Check text")))</f>
        <v>Regional Unit</v>
      </c>
    </row>
    <row r="87" customFormat="false" ht="14.4" hidden="false" customHeight="true" outlineLevel="0" collapsed="false">
      <c r="A87" s="21" t="s">
        <v>171</v>
      </c>
      <c r="B87" s="19" t="n">
        <v>22</v>
      </c>
      <c r="C87" s="19" t="n">
        <v>37</v>
      </c>
      <c r="D87" s="19" t="n">
        <v>44532</v>
      </c>
      <c r="E87" s="19" t="n">
        <v>12285</v>
      </c>
      <c r="F87" s="20" t="s">
        <v>172</v>
      </c>
      <c r="G87" s="0" t="str">
        <f aca="false">IF(ISNUMBER(SEARCH("Σύνολο Χώρας",A87)),"Country Total",IF(ISNUMBER(SEARCH("ΠΕΡΙΦΕΡΕΙΑΚΗ ΕΝΟΤΗΤΑ",A87)),"Regional Unit",IF(ISNUMBER(SEARCH("ΠΕΡΙΦΕΡΕΙΑ",A87)),"Region","Check text")))</f>
        <v>Regional Unit</v>
      </c>
    </row>
    <row r="88" customFormat="false" ht="14.4" hidden="false" customHeight="true" outlineLevel="0" collapsed="false">
      <c r="A88" s="21" t="s">
        <v>173</v>
      </c>
      <c r="B88" s="19" t="n">
        <v>32</v>
      </c>
      <c r="C88" s="19" t="n">
        <v>41</v>
      </c>
      <c r="D88" s="19" t="n">
        <v>34590</v>
      </c>
      <c r="E88" s="19" t="n">
        <v>10219</v>
      </c>
      <c r="F88" s="20" t="s">
        <v>174</v>
      </c>
      <c r="G88" s="0" t="str">
        <f aca="false">IF(ISNUMBER(SEARCH("Σύνολο Χώρας",A88)),"Country Total",IF(ISNUMBER(SEARCH("ΠΕΡΙΦΕΡΕΙΑΚΗ ΕΝΟΤΗΤΑ",A88)),"Regional Unit",IF(ISNUMBER(SEARCH("ΠΕΡΙΦΕΡΕΙΑ",A88)),"Region","Check text")))</f>
        <v>Regional Unit</v>
      </c>
    </row>
    <row r="89" customFormat="false" ht="14.4" hidden="false" customHeight="true" outlineLevel="0" collapsed="false">
      <c r="A89" s="21" t="s">
        <v>175</v>
      </c>
      <c r="B89" s="19" t="n">
        <v>18</v>
      </c>
      <c r="C89" s="19" t="n">
        <v>30</v>
      </c>
      <c r="D89" s="19" t="n">
        <v>15697</v>
      </c>
      <c r="E89" s="19" t="n">
        <v>4339</v>
      </c>
      <c r="F89" s="20" t="s">
        <v>176</v>
      </c>
      <c r="G89" s="0" t="str">
        <f aca="false">IF(ISNUMBER(SEARCH("Σύνολο Χώρας",A89)),"Country Total",IF(ISNUMBER(SEARCH("ΠΕΡΙΦΕΡΕΙΑΚΗ ΕΝΟΤΗΤΑ",A89)),"Regional Unit",IF(ISNUMBER(SEARCH("ΠΕΡΙΦΕΡΕΙΑ",A89)),"Region","Check text")))</f>
        <v>Regional Unit</v>
      </c>
    </row>
    <row r="90" customFormat="false" ht="14.4" hidden="false" customHeight="true" outlineLevel="0" collapsed="false">
      <c r="A90" s="21" t="s">
        <v>177</v>
      </c>
      <c r="B90" s="19" t="n">
        <v>1</v>
      </c>
      <c r="C90" s="19" t="n">
        <v>3</v>
      </c>
      <c r="D90" s="19" t="n">
        <v>9960</v>
      </c>
      <c r="E90" s="19" t="n">
        <v>3109</v>
      </c>
      <c r="F90" s="20" t="s">
        <v>178</v>
      </c>
      <c r="G90" s="0" t="str">
        <f aca="false">IF(ISNUMBER(SEARCH("Σύνολο Χώρας",A90)),"Country Total",IF(ISNUMBER(SEARCH("ΠΕΡΙΦΕΡΕΙΑΚΗ ΕΝΟΤΗΤΑ",A90)),"Regional Unit",IF(ISNUMBER(SEARCH("ΠΕΡΙΦΕΡΕΙΑ",A90)),"Region","Check text")))</f>
        <v>Regional Unit</v>
      </c>
    </row>
    <row r="91" customFormat="false" ht="14.4" hidden="false" customHeight="true" outlineLevel="0" collapsed="false">
      <c r="A91" s="22" t="s">
        <v>179</v>
      </c>
      <c r="B91" s="16" t="n">
        <v>251</v>
      </c>
      <c r="C91" s="16" t="n">
        <v>431</v>
      </c>
      <c r="D91" s="16" t="n">
        <v>308832</v>
      </c>
      <c r="E91" s="16" t="n">
        <v>82806</v>
      </c>
      <c r="F91" s="17" t="s">
        <v>180</v>
      </c>
      <c r="G91" s="0" t="str">
        <f aca="false">IF(ISNUMBER(SEARCH("Σύνολο Χώρας",A91)),"Country Total",IF(ISNUMBER(SEARCH("ΠΕΡΙΦΕΡΕΙΑΚΗ ΕΝΟΤΗΤΑ",A91)),"Regional Unit",IF(ISNUMBER(SEARCH("ΠΕΡΙΦΕΡΕΙΑ",A91)),"Region","Check text")))</f>
        <v>Region</v>
      </c>
    </row>
    <row r="92" customFormat="false" ht="14.4" hidden="false" customHeight="true" outlineLevel="0" collapsed="false">
      <c r="A92" s="21" t="s">
        <v>181</v>
      </c>
      <c r="B92" s="19" t="n">
        <v>88</v>
      </c>
      <c r="C92" s="19" t="n">
        <v>151</v>
      </c>
      <c r="D92" s="19" t="n">
        <v>96629</v>
      </c>
      <c r="E92" s="19" t="n">
        <v>26350</v>
      </c>
      <c r="F92" s="20" t="s">
        <v>182</v>
      </c>
      <c r="G92" s="0" t="str">
        <f aca="false">IF(ISNUMBER(SEARCH("Σύνολο Χώρας",A92)),"Country Total",IF(ISNUMBER(SEARCH("ΠΕΡΙΦΕΡΕΙΑΚΗ ΕΝΟΤΗΤΑ",A92)),"Regional Unit",IF(ISNUMBER(SEARCH("ΠΕΡΙΦΕΡΕΙΑ",A92)),"Region","Check text")))</f>
        <v>Regional Unit</v>
      </c>
    </row>
    <row r="93" customFormat="false" ht="14.4" hidden="false" customHeight="true" outlineLevel="0" collapsed="false">
      <c r="A93" s="21" t="s">
        <v>183</v>
      </c>
      <c r="B93" s="19" t="n">
        <v>5</v>
      </c>
      <c r="C93" s="19" t="n">
        <v>11</v>
      </c>
      <c r="D93" s="19" t="n">
        <v>4950</v>
      </c>
      <c r="E93" s="19" t="n">
        <v>1332</v>
      </c>
      <c r="F93" s="20" t="s">
        <v>184</v>
      </c>
      <c r="G93" s="0" t="str">
        <f aca="false">IF(ISNUMBER(SEARCH("Σύνολο Χώρας",A93)),"Country Total",IF(ISNUMBER(SEARCH("ΠΕΡΙΦΕΡΕΙΑΚΗ ΕΝΟΤΗΤΑ",A93)),"Regional Unit",IF(ISNUMBER(SEARCH("ΠΕΡΙΦΕΡΕΙΑ",A93)),"Region","Check text")))</f>
        <v>Regional Unit</v>
      </c>
    </row>
    <row r="94" customFormat="false" ht="15.8" hidden="false" customHeight="false" outlineLevel="0" collapsed="false">
      <c r="A94" s="21" t="s">
        <v>185</v>
      </c>
      <c r="B94" s="19" t="n">
        <v>25</v>
      </c>
      <c r="C94" s="19" t="n">
        <v>40</v>
      </c>
      <c r="D94" s="19" t="n">
        <v>25336</v>
      </c>
      <c r="E94" s="19" t="n">
        <v>7107</v>
      </c>
      <c r="F94" s="20" t="s">
        <v>186</v>
      </c>
      <c r="G94" s="0" t="str">
        <f aca="false">IF(ISNUMBER(SEARCH("Σύνολο Χώρας",A94)),"Country Total",IF(ISNUMBER(SEARCH("ΠΕΡΙΦΕΡΕΙΑΚΗ ΕΝΟΤΗΤΑ",A94)),"Regional Unit",IF(ISNUMBER(SEARCH("ΠΕΡΙΦΕΡΕΙΑ",A94)),"Region","Check text")))</f>
        <v>Regional Unit</v>
      </c>
    </row>
    <row r="95" customFormat="false" ht="15.8" hidden="false" customHeight="false" outlineLevel="0" collapsed="false">
      <c r="A95" s="21" t="s">
        <v>187</v>
      </c>
      <c r="B95" s="19" t="n">
        <v>133</v>
      </c>
      <c r="C95" s="19" t="n">
        <v>229</v>
      </c>
      <c r="D95" s="19" t="n">
        <v>181917</v>
      </c>
      <c r="E95" s="19" t="n">
        <v>48017</v>
      </c>
      <c r="F95" s="20" t="s">
        <v>188</v>
      </c>
      <c r="G95" s="0" t="str">
        <f aca="false">IF(ISNUMBER(SEARCH("Σύνολο Χώρας",A95)),"Country Total",IF(ISNUMBER(SEARCH("ΠΕΡΙΦΕΡΕΙΑΚΗ ΕΝΟΤΗΤΑ",A95)),"Regional Unit",IF(ISNUMBER(SEARCH("ΠΕΡΙΦΕΡΕΙΑ",A95)),"Region","Check text")))</f>
        <v>Regional Unit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39375" right="0.354166666666667" top="0.39375" bottom="0.39375" header="0.511811023622047" footer="0.31527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1" min="1" style="0" width="47.43"/>
  </cols>
  <sheetData>
    <row r="1" customFormat="false" ht="28.8" hidden="false" customHeight="false" outlineLevel="0" collapsed="false">
      <c r="A1" s="23" t="s">
        <v>189</v>
      </c>
      <c r="B1" s="10" t="s">
        <v>190</v>
      </c>
      <c r="C1" s="10" t="s">
        <v>191</v>
      </c>
      <c r="D1" s="10" t="s">
        <v>192</v>
      </c>
      <c r="E1" s="10" t="s">
        <v>193</v>
      </c>
    </row>
    <row r="2" customFormat="false" ht="14.4" hidden="false" customHeight="false" outlineLevel="0" collapsed="false">
      <c r="A2" s="24" t="s">
        <v>13</v>
      </c>
      <c r="B2" s="25" t="n">
        <f aca="false">ΠΙΝ1!B8-SUMIF(ΠΙΝ1!$A9:$A95,"ΠΕΡΙΦΕΡΕΙΑ "&amp;"*",ΠΙΝ1!B9:B95)</f>
        <v>0</v>
      </c>
      <c r="C2" s="25" t="n">
        <f aca="false">ΠΙΝ1!C8-SUMIF(ΠΙΝ1!$A9:$A95,"ΠΕΡΙΦΕΡΕΙΑ "&amp;"*",ΠΙΝ1!C9:C95)</f>
        <v>0</v>
      </c>
      <c r="D2" s="25" t="n">
        <f aca="false">ΠΙΝ1!D8-SUMIF(ΠΙΝ1!$A9:$A95,"ΠΕΡΙΦΕΡΕΙΑ "&amp;"*",ΠΙΝ1!D9:D95)</f>
        <v>0</v>
      </c>
      <c r="E2" s="25" t="n">
        <f aca="false">ΠΙΝ1!E8-SUMIF(ΠΙΝ1!$A9:$A95,"ΠΕΡΙΦΕΡΕΙΑ "&amp;"*",ΠΙΝ1!E9:E95)</f>
        <v>0</v>
      </c>
    </row>
    <row r="3" customFormat="false" ht="14.4" hidden="false" customHeight="false" outlineLevel="0" collapsed="false">
      <c r="A3" s="26" t="s">
        <v>15</v>
      </c>
      <c r="B3" s="25" t="n">
        <f aca="false">ΠΙΝ1!B9-SUM(ΠΙΝ1!B10:B17)</f>
        <v>0</v>
      </c>
      <c r="C3" s="25" t="n">
        <f aca="false">ΠΙΝ1!C9-SUM(ΠΙΝ1!C10:C17)</f>
        <v>0</v>
      </c>
      <c r="D3" s="25" t="n">
        <f aca="false">ΠΙΝ1!D9-SUM(ΠΙΝ1!D10:D17)</f>
        <v>0</v>
      </c>
      <c r="E3" s="25" t="n">
        <f aca="false">ΠΙΝ1!E9-SUM(ΠΙΝ1!E10:E17)</f>
        <v>0</v>
      </c>
    </row>
    <row r="4" customFormat="false" ht="14.4" hidden="false" customHeight="false" outlineLevel="0" collapsed="false">
      <c r="A4" s="21" t="s">
        <v>33</v>
      </c>
      <c r="B4" s="25" t="n">
        <f aca="false">ΠΙΝ1!B18-SUM(ΠΙΝ1!B19:B24)</f>
        <v>0</v>
      </c>
      <c r="C4" s="25" t="n">
        <f aca="false">ΠΙΝ1!C18-SUM(ΠΙΝ1!C19:C24)</f>
        <v>0</v>
      </c>
      <c r="D4" s="25" t="n">
        <f aca="false">ΠΙΝ1!D18-SUM(ΠΙΝ1!D19:D24)</f>
        <v>0</v>
      </c>
      <c r="E4" s="25" t="n">
        <f aca="false">ΠΙΝ1!E18-SUM(ΠΙΝ1!E19:E24)</f>
        <v>0</v>
      </c>
    </row>
    <row r="5" customFormat="false" ht="14.4" hidden="false" customHeight="false" outlineLevel="0" collapsed="false">
      <c r="A5" s="21" t="s">
        <v>47</v>
      </c>
      <c r="B5" s="25" t="n">
        <f aca="false">ΠΙΝ1!B25-SUM(ΠΙΝ1!B26:B32)</f>
        <v>0</v>
      </c>
      <c r="C5" s="25" t="n">
        <f aca="false">ΠΙΝ1!C25-SUM(ΠΙΝ1!C26:C32)</f>
        <v>0</v>
      </c>
      <c r="D5" s="25" t="n">
        <f aca="false">ΠΙΝ1!D25-SUM(ΠΙΝ1!D26:D32)</f>
        <v>0</v>
      </c>
      <c r="E5" s="25" t="n">
        <f aca="false">ΠΙΝ1!E25-SUM(ΠΙΝ1!E26:E32)</f>
        <v>0</v>
      </c>
    </row>
    <row r="6" customFormat="false" ht="14.4" hidden="false" customHeight="false" outlineLevel="0" collapsed="false">
      <c r="A6" s="21" t="s">
        <v>63</v>
      </c>
      <c r="B6" s="25" t="n">
        <f aca="false">ΠΙΝ1!B33-SUM(ΠΙΝ1!B34:B37)</f>
        <v>0</v>
      </c>
      <c r="C6" s="25" t="n">
        <f aca="false">ΠΙΝ1!C33-SUM(ΠΙΝ1!C34:C37)</f>
        <v>0</v>
      </c>
      <c r="D6" s="25" t="n">
        <f aca="false">ΠΙΝ1!D33-SUM(ΠΙΝ1!D34:D37)</f>
        <v>0</v>
      </c>
      <c r="E6" s="25" t="n">
        <f aca="false">ΠΙΝ1!E33-SUM(ΠΙΝ1!E34:E37)</f>
        <v>0</v>
      </c>
    </row>
    <row r="7" customFormat="false" ht="14.4" hidden="false" customHeight="false" outlineLevel="0" collapsed="false">
      <c r="A7" s="21" t="s">
        <v>73</v>
      </c>
      <c r="B7" s="25" t="n">
        <f aca="false">ΠΙΝ1!B38-SUM(ΠΙΝ1!B39:B42)</f>
        <v>0</v>
      </c>
      <c r="C7" s="25" t="n">
        <f aca="false">ΠΙΝ1!C38-SUM(ΠΙΝ1!C39:C42)</f>
        <v>0</v>
      </c>
      <c r="D7" s="25" t="n">
        <f aca="false">ΠΙΝ1!D38-SUM(ΠΙΝ1!D39:D42)</f>
        <v>0</v>
      </c>
      <c r="E7" s="25" t="n">
        <f aca="false">ΠΙΝ1!E38-SUM(ΠΙΝ1!E39:E42)</f>
        <v>0</v>
      </c>
    </row>
    <row r="8" customFormat="false" ht="14.4" hidden="false" customHeight="false" outlineLevel="0" collapsed="false">
      <c r="A8" s="21" t="s">
        <v>83</v>
      </c>
      <c r="B8" s="25" t="n">
        <f aca="false">ΠΙΝ1!B43-SUM(ΠΙΝ1!B44:B48)</f>
        <v>0</v>
      </c>
      <c r="C8" s="25" t="n">
        <f aca="false">ΠΙΝ1!C43-SUM(ΠΙΝ1!C44:C48)</f>
        <v>0</v>
      </c>
      <c r="D8" s="25" t="n">
        <f aca="false">ΠΙΝ1!D43-SUM(ΠΙΝ1!D44:D48)</f>
        <v>0</v>
      </c>
      <c r="E8" s="25" t="n">
        <f aca="false">ΠΙΝ1!E43-SUM(ΠΙΝ1!E44:E48)</f>
        <v>0</v>
      </c>
    </row>
    <row r="9" customFormat="false" ht="14.4" hidden="false" customHeight="false" outlineLevel="0" collapsed="false">
      <c r="A9" s="21" t="s">
        <v>95</v>
      </c>
      <c r="B9" s="25" t="n">
        <f aca="false">ΠΙΝ1!B49-SUM(ΠΙΝ1!B50:B54)</f>
        <v>0</v>
      </c>
      <c r="C9" s="25" t="n">
        <f aca="false">ΠΙΝ1!C49-SUM(ΠΙΝ1!C50:C54)</f>
        <v>0</v>
      </c>
      <c r="D9" s="25" t="n">
        <f aca="false">ΠΙΝ1!D49-SUM(ΠΙΝ1!D50:D54)</f>
        <v>0</v>
      </c>
      <c r="E9" s="25" t="n">
        <f aca="false">ΠΙΝ1!E49-SUM(ΠΙΝ1!E50:E54)</f>
        <v>0</v>
      </c>
    </row>
    <row r="10" customFormat="false" ht="14.4" hidden="false" customHeight="false" outlineLevel="0" collapsed="false">
      <c r="A10" s="21" t="s">
        <v>107</v>
      </c>
      <c r="B10" s="25" t="n">
        <f aca="false">ΠΙΝ1!B55-SUM(ΠΙΝ1!B56:B60)</f>
        <v>0</v>
      </c>
      <c r="C10" s="25" t="n">
        <f aca="false">ΠΙΝ1!C55-SUM(ΠΙΝ1!C56:C60)</f>
        <v>0</v>
      </c>
      <c r="D10" s="25" t="n">
        <f aca="false">ΠΙΝ1!D55-SUM(ΠΙΝ1!D56:D60)</f>
        <v>0</v>
      </c>
      <c r="E10" s="25" t="n">
        <f aca="false">ΠΙΝ1!E55-SUM(ΠΙΝ1!E56:E60)</f>
        <v>0</v>
      </c>
    </row>
    <row r="11" customFormat="false" ht="14.4" hidden="false" customHeight="false" outlineLevel="0" collapsed="false">
      <c r="A11" s="21" t="s">
        <v>119</v>
      </c>
      <c r="B11" s="25" t="n">
        <f aca="false">ΠΙΝ1!B61-SUM(ΠΙΝ1!B62:B64)</f>
        <v>0</v>
      </c>
      <c r="C11" s="25" t="n">
        <f aca="false">ΠΙΝ1!C61-SUM(ΠΙΝ1!C62:C64)</f>
        <v>0</v>
      </c>
      <c r="D11" s="25" t="n">
        <f aca="false">ΠΙΝ1!D61-SUM(ΠΙΝ1!D62:D64)</f>
        <v>0</v>
      </c>
      <c r="E11" s="25" t="n">
        <f aca="false">ΠΙΝ1!E61-SUM(ΠΙΝ1!E62:E64)</f>
        <v>0</v>
      </c>
    </row>
    <row r="12" customFormat="false" ht="14.4" hidden="false" customHeight="false" outlineLevel="0" collapsed="false">
      <c r="A12" s="21" t="s">
        <v>127</v>
      </c>
      <c r="B12" s="25" t="n">
        <f aca="false">ΠΙΝ1!B65-SUM(ΠΙΝ1!B66:B70)</f>
        <v>0</v>
      </c>
      <c r="C12" s="25" t="n">
        <f aca="false">ΠΙΝ1!C65-SUM(ΠΙΝ1!C66:C70)</f>
        <v>0</v>
      </c>
      <c r="D12" s="25" t="n">
        <f aca="false">ΠΙΝ1!D65-SUM(ΠΙΝ1!D66:D70)</f>
        <v>0</v>
      </c>
      <c r="E12" s="25" t="n">
        <f aca="false">ΠΙΝ1!E65-SUM(ΠΙΝ1!E66:E70)</f>
        <v>0</v>
      </c>
    </row>
    <row r="13" customFormat="false" ht="14.4" hidden="false" customHeight="false" outlineLevel="0" collapsed="false">
      <c r="A13" s="21" t="s">
        <v>139</v>
      </c>
      <c r="B13" s="25" t="n">
        <f aca="false">ΠΙΝ1!B71-SUM(ΠΙΝ1!B72:B76)</f>
        <v>0</v>
      </c>
      <c r="C13" s="25" t="n">
        <f aca="false">ΠΙΝ1!C71-SUM(ΠΙΝ1!C72:C76)</f>
        <v>0</v>
      </c>
      <c r="D13" s="25" t="n">
        <f aca="false">ΠΙΝ1!D71-SUM(ΠΙΝ1!D72:D76)</f>
        <v>0</v>
      </c>
      <c r="E13" s="25" t="n">
        <f aca="false">ΠΙΝ1!E71-SUM(ΠΙΝ1!E72:E76)</f>
        <v>0</v>
      </c>
    </row>
    <row r="14" customFormat="false" ht="14.4" hidden="false" customHeight="false" outlineLevel="0" collapsed="false">
      <c r="A14" s="21" t="s">
        <v>151</v>
      </c>
      <c r="B14" s="25" t="n">
        <f aca="false">ΠΙΝ1!B77-SUM(ΠΙΝ1!B78:B90)</f>
        <v>0</v>
      </c>
      <c r="C14" s="25" t="n">
        <f aca="false">ΠΙΝ1!C77-SUM(ΠΙΝ1!C78:C90)</f>
        <v>0</v>
      </c>
      <c r="D14" s="25" t="n">
        <f aca="false">ΠΙΝ1!D77-SUM(ΠΙΝ1!D78:D90)</f>
        <v>0</v>
      </c>
      <c r="E14" s="25" t="n">
        <f aca="false">ΠΙΝ1!E77-SUM(ΠΙΝ1!E78:E90)</f>
        <v>0</v>
      </c>
    </row>
    <row r="15" customFormat="false" ht="14.4" hidden="false" customHeight="false" outlineLevel="0" collapsed="false">
      <c r="A15" s="21" t="s">
        <v>179</v>
      </c>
      <c r="B15" s="25" t="n">
        <f aca="false">ΠΙΝ1!B91-SUM(ΠΙΝ1!B92:B95)</f>
        <v>0</v>
      </c>
      <c r="C15" s="25" t="n">
        <f aca="false">ΠΙΝ1!C91-SUM(ΠΙΝ1!C92:C95)</f>
        <v>0</v>
      </c>
      <c r="D15" s="25" t="n">
        <f aca="false">ΠΙΝ1!D91-SUM(ΠΙΝ1!D92:D95)</f>
        <v>0</v>
      </c>
      <c r="E15" s="25" t="n">
        <f aca="false">ΠΙΝ1!E91-SUM(ΠΙΝ1!E92:E95)</f>
        <v>0</v>
      </c>
    </row>
  </sheetData>
  <autoFilter ref="B1:E1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2021-12-03T16:27:05Z</dcterms:created>
  <dc:creator>Stamou Despoina</dc:creator>
  <dc:description/>
  <dc:language>en-US</dc:language>
  <cp:lastModifiedBy/>
  <cp:lastPrinted>2022-01-04T20:47:14Z</cp:lastPrinted>
  <dcterms:modified xsi:type="dcterms:W3CDTF">2026-10-17T19:15:49Z</dcterms:modified>
  <cp:revision>1</cp:revision>
  <dc:subject/>
  <dc:title/>
</cp:coreProperties>
</file>