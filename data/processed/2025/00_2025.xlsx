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ΠΙΝ1" sheetId="1" state="visible" r:id="rId3"/>
    <sheet name="ΕΛ" sheetId="2" state="visible" r:id="rId4"/>
  </sheets>
  <definedNames>
    <definedName function="false" hidden="true" localSheetId="1" name="_xlnm._FilterDatabase" vbProcedure="false">ΕΛ!$B$1:$E$15</definedName>
    <definedName function="false" hidden="false" localSheetId="0" name="_xlnm.Print_Area" vbProcedure="false">ΠΙΝ1!$A$1:$F$89</definedName>
    <definedName function="false" hidden="false" localSheetId="0" name="_xlnm.Print_Titles" vbProcedure="false">ΠΙΝ1!$1:$1</definedName>
    <definedName function="false" hidden="false" localSheetId="0" name="Excel_BuiltIn__FilterDatabase" vbProcedure="false">ΠΙΝ1!$A$2:$F$89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<sst xmlns="http://schemas.openxmlformats.org/spreadsheetml/2006/main" count="203" uniqueCount="189">
  <si>
    <t xml:space="preserve">Περιφέρεια και Περιφερειακή Ενότητα</t>
  </si>
  <si>
    <t xml:space="preserve">Αριθμός      </t>
  </si>
  <si>
    <t xml:space="preserve">Όροφοι</t>
  </si>
  <si>
    <t xml:space="preserve">Όγκος</t>
  </si>
  <si>
    <t xml:space="preserve">Επιφάνεια</t>
  </si>
  <si>
    <t xml:space="preserve">Region and Regional Unit</t>
  </si>
  <si>
    <t xml:space="preserve">Category</t>
  </si>
  <si>
    <t xml:space="preserve">Date</t>
  </si>
  <si>
    <t xml:space="preserve">Σύνολο Χώρας </t>
  </si>
  <si>
    <t xml:space="preserve"> Greece, Total</t>
  </si>
  <si>
    <t xml:space="preserve">ΠΕΡΙΦΕΡΕΙΑ ΑΤΤΙΚΗΣ </t>
  </si>
  <si>
    <t xml:space="preserve">REGION OF ATTIKI</t>
  </si>
  <si>
    <t xml:space="preserve">ΠΕΡΙΦΕΡΕΙΑΚΗ ΕΝΟΤΗΤΑ ΚΕΝΤΡΙΚΟΥ ΤΟΜΕΑ ΑΘΗΝΩΝ</t>
  </si>
  <si>
    <t xml:space="preserve">REGIONAL UNIT OF KENTRIKOS TOMEAS ATHINON
 (CENTRAL SECTOR OF ATHENS)</t>
  </si>
  <si>
    <t xml:space="preserve">ΠΕΡΙΦΕΡΕΙΑΚΗ ΕΝΟΤΗΤΑ ΒΟΡΕΙΟΥ ΤΟΜΕΑ ΑΘΗΝΩΝ</t>
  </si>
  <si>
    <t xml:space="preserve">REGIONAL UNIT OF VOREIOS TOMEAS ATHINON
 (NORTH SECTOR OF ATHENS)</t>
  </si>
  <si>
    <t xml:space="preserve">ΠΕΡΙΦΕΡΕΙΑΚΗ ΕΝΟΤΗΤΑ ΔΥΤΙΚΟΥ ΤΟΜΕΑ ΑΘΗΝΩΝ</t>
  </si>
  <si>
    <t xml:space="preserve">REGIONAL UNIT OF DYTIKOS TOMEAS ATHINON
 (WESTERN SECTOR OF ATHENS)</t>
  </si>
  <si>
    <t xml:space="preserve">ΠΕΡΙΦΕΡΕΙΑΚΗ ΕΝΟΤΗΤΑ ΝΟΤΙΟΥ ΤΟΜΕΑ ΑΘΗΝΩΝ</t>
  </si>
  <si>
    <t xml:space="preserve">REGIONAL UNIT OF NOTIOS TOMEAS ATHINON
 (SOUTH SECTOR OF ATHENS)</t>
  </si>
  <si>
    <t xml:space="preserve">ΠΕΡΙΦΕΡΕΙΑΚΗ ΕΝΟΤΗΤΑ ΑΝΑΤΟΛΙΚΗΣ ΑΤΤΙΚΗΣ</t>
  </si>
  <si>
    <t xml:space="preserve">REGIONAL UNIT OF ANATOLIKI ATTIKI</t>
  </si>
  <si>
    <t xml:space="preserve">ΠΕΡΙΦΕΡΕΙΑΚΗ ΕΝΟΤΗΤΑ ΔΥΤΙΚΗΣ ΑΤΤΙΚΗΣ</t>
  </si>
  <si>
    <t xml:space="preserve">REGIONAL UNIT OF DYTIKI ATTIKI</t>
  </si>
  <si>
    <t xml:space="preserve">ΠΕΡΙΦΕΡΕΙΑΚΗ ΕΝΟΤΗΤΑ ΠΕΙΡΑΙΩΣ</t>
  </si>
  <si>
    <t xml:space="preserve">REGIONAL UNIT OF PIREAS</t>
  </si>
  <si>
    <t xml:space="preserve">ΠΕΡΙΦΕΡΕΙΑΚΗ ΕΝΟΤΗΤΑ ΝΗΣΩΝ</t>
  </si>
  <si>
    <t xml:space="preserve">REGIONAL UNIT OF NISIA (ISLANDS)</t>
  </si>
  <si>
    <t xml:space="preserve">ΠΕΡΙΦΕΡΕΙΑ ΑΝΑΤΟΛΙΚΗΣ ΜΑΚΕΔΟΝΙΑΣ ΚΑΙ ΘΡΑΚΗΣ</t>
  </si>
  <si>
    <t xml:space="preserve">REGION OF ANATOLIKI MAKEDONIA,THRAKI</t>
  </si>
  <si>
    <t xml:space="preserve">ΠΕΡΙΦΕΡΕΙΑΚΗ ΕΝΟΤΗΤΑ ΡΟΔΟΠΗΣ</t>
  </si>
  <si>
    <t xml:space="preserve">REGIONAL UNIT OF RODOPI</t>
  </si>
  <si>
    <t xml:space="preserve">ΠΕΡΙΦΕΡΕΙΑΚΗ ΕΝΟΤΗΤΑ ΔΡΑΜΑΣ</t>
  </si>
  <si>
    <t xml:space="preserve">REGIONAL UNIT OF DRAMA</t>
  </si>
  <si>
    <t xml:space="preserve">ΠΕΡΙΦΕΡΕΙΑΚΗ ΕΝΟΤΗΤΑ ΕΒΡΟΥ</t>
  </si>
  <si>
    <t xml:space="preserve">REGIONAL UNIT OF EVROS</t>
  </si>
  <si>
    <t xml:space="preserve">ΠΕΡΙΦΕΡΕΙΑΚΗ ΕΝΟΤΗΤΑ ΘΑΣΟΥ</t>
  </si>
  <si>
    <t xml:space="preserve">REGIONAL UNIT OF THASOS</t>
  </si>
  <si>
    <t xml:space="preserve">ΠΕΡΙΦΕΡΕΙΑΚΗ ΕΝΟΤΗΤΑ ΚΑΒΑΛΑΣ</t>
  </si>
  <si>
    <t xml:space="preserve">REGIONAL UNIT OF KAVALA</t>
  </si>
  <si>
    <t xml:space="preserve">ΠΕΡΙΦΕΡΕΙΑΚΗ ΕΝΟΤΗΤΑ ΞΑΝΘΗΣ</t>
  </si>
  <si>
    <t xml:space="preserve">REGIONAL UNIT OF XANTHI</t>
  </si>
  <si>
    <t xml:space="preserve">ΠΕΡΙΦΕΡΕΙΑ ΚΕΝΤΡΙΚΗΣ ΜΑΚΕΔΟΝΙΑΣ</t>
  </si>
  <si>
    <t xml:space="preserve">REGION OF KENTRIKI MAKEDONIA</t>
  </si>
  <si>
    <t xml:space="preserve">ΠΕΡΙΦΕΡΕΙΑΚΗ ΕΝΟΤΗΤΑ ΘΕΣΣΑΛΟΝΙΚΗΣ</t>
  </si>
  <si>
    <t xml:space="preserve">REGIONAL UNIT OF THESSALONIKI</t>
  </si>
  <si>
    <t xml:space="preserve">ΠΕΡΙΦΕΡΕΙΑΚΗ ΕΝΟΤΗΤΑ ΗΜΑΘΙΑΣ</t>
  </si>
  <si>
    <t xml:space="preserve">REGIONAL UNIT OF IMATHIA</t>
  </si>
  <si>
    <t xml:space="preserve">ΠΕΡΙΦΕΡΕΙΑΚΗ ΕΝΟΤΗΤΑ ΚΙΛΚΙΣ</t>
  </si>
  <si>
    <t xml:space="preserve">REGIONAL UNIT OF KILKIS</t>
  </si>
  <si>
    <t xml:space="preserve">ΠΕΡΙΦΕΡΕΙΑΚΗ ΕΝΟΤΗΤΑ ΠΕΛΛΑΣ</t>
  </si>
  <si>
    <t xml:space="preserve">REGIONAL UNIT OF PELLA</t>
  </si>
  <si>
    <t xml:space="preserve">ΠΕΡΙΦΕΡΕΙΑΚΗ ΕΝΟΤΗΤΑ ΠΙΕΡΙΑΣ</t>
  </si>
  <si>
    <t xml:space="preserve">REGIONAL UNIT OF PIERIA</t>
  </si>
  <si>
    <t xml:space="preserve">ΠΕΡΙΦΕΡΕΙΑΚΗ ΕΝΟΤΗΤΑ ΣΕΡΡΩΝ</t>
  </si>
  <si>
    <t xml:space="preserve">REGIONAL UNIT OF SERRES</t>
  </si>
  <si>
    <t xml:space="preserve">ΠΕΡΙΦΕΡΕΙΑΚΗ ΕΝΟΤΗΤΑ ΧΑΛΚΙΔΙΚΗΣ</t>
  </si>
  <si>
    <t xml:space="preserve">REGIONAL UNIT OF CHALKIDIKI</t>
  </si>
  <si>
    <t xml:space="preserve">ΠΕΡΙΦΕΡΕΙΑ ΔΥΤΙΚΗΣ ΜΑΚΕΔΟΝΙΑΣ</t>
  </si>
  <si>
    <t xml:space="preserve">REGION OF DYTIKI MAKEDONIA</t>
  </si>
  <si>
    <t xml:space="preserve">ΠΕΡΙΦΕΡΕΙΑΚΗ ΕΝΟΤΗΤΑ ΚΟΖΑΝΗΣ</t>
  </si>
  <si>
    <t xml:space="preserve">REGIONAL UNIT OF KOZANI</t>
  </si>
  <si>
    <t xml:space="preserve">ΠΕΡΙΦΕΡΕΙΑΚΗ ΕΝΟΤΗΤΑ ΓΡΕΒΕΝΩΝ</t>
  </si>
  <si>
    <t xml:space="preserve">REGIONAL UNIT OF GREVENA</t>
  </si>
  <si>
    <t xml:space="preserve">ΠΕΡΙΦΕΡΕΙΑΚΗ ΕΝΟΤΗΤΑ ΚΑΣΤΟΡΙΑΣ</t>
  </si>
  <si>
    <t xml:space="preserve">REGIONAL UNIT OF KASTORIA</t>
  </si>
  <si>
    <t xml:space="preserve">ΠΕΡΙΦΕΡΕΙΑΚΗ ΕΝΟΤΗΤΑ ΦΛΩΡΙΝΑΣ</t>
  </si>
  <si>
    <t xml:space="preserve">REGIONAL UNIT OF FLORINA</t>
  </si>
  <si>
    <t xml:space="preserve">ΠΕΡΙΦΕΡΕΙΑ ΗΠΕΙΡΟΥ</t>
  </si>
  <si>
    <t xml:space="preserve">REGION OF IPEIROS</t>
  </si>
  <si>
    <t xml:space="preserve">ΠΕΡΙΦΕΡΕΙΑΚΗ ΕΝΟΤΗΤΑ ΙΩΑΝΝΙΝΩΝ</t>
  </si>
  <si>
    <t xml:space="preserve">REGIONAL UNIT OF IOANNINA</t>
  </si>
  <si>
    <t xml:space="preserve">ΠΕΡΙΦΕΡΕΙΑΚΗ ΕΝΟΤΗΤΑ ΑΡΤΑΣ</t>
  </si>
  <si>
    <t xml:space="preserve">REGIONAL UNIT OF ARTA</t>
  </si>
  <si>
    <t xml:space="preserve">ΠΕΡΙΦΕΡΕΙΑΚΗ ΕΝΟΤΗΤΑ ΘΕΣΠΡΩΤΙΑΣ</t>
  </si>
  <si>
    <t xml:space="preserve">REGIONAL UNIT OF THESPROTIA</t>
  </si>
  <si>
    <t xml:space="preserve">ΠΕΡΙΦΕΡΕΙΑΚΗ ΕΝΟΤΗΤΑ ΠΡΕΒΕΖΑΣ</t>
  </si>
  <si>
    <t xml:space="preserve">REGIONAL UNIT OF PREVEZA</t>
  </si>
  <si>
    <t xml:space="preserve">ΠΕΡΙΦΕΡΕΙΑ ΘΕΣΣΑΛΙΑΣ</t>
  </si>
  <si>
    <t xml:space="preserve">REGION OF THESSALIA</t>
  </si>
  <si>
    <t xml:space="preserve">ΠΕΡΙΦΕΡΕΙΑΚΗ ΕΝΟΤΗΤΑ ΛΑΡΙΣΑΣ</t>
  </si>
  <si>
    <t xml:space="preserve">REGIONAL UNIT OF LARISA</t>
  </si>
  <si>
    <t xml:space="preserve">ΠΕΡΙΦΕΡΕΙΑΚΗ ΕΝΟΤΗΤΑ ΚΑΡΔΙΤΣΑΣ</t>
  </si>
  <si>
    <t xml:space="preserve">REGIONAL UNIT OF KARDITSA</t>
  </si>
  <si>
    <t xml:space="preserve">ΠΕΡΙΦΕΡΕΙΑΚΗ ΕΝΟΤΗΤΑ ΜΑΓΝΗΣΙΑΣ</t>
  </si>
  <si>
    <t xml:space="preserve">REGIONAL UNIT OF MAGNISIA</t>
  </si>
  <si>
    <t xml:space="preserve">ΠΕΡΙΦΕΡΕΙΑΚΗ ΕΝΟΤΗΤΑ ΣΠΟΡΑΔΩΝ</t>
  </si>
  <si>
    <t xml:space="preserve">REGIONAL UNIT OF SPORADES</t>
  </si>
  <si>
    <t xml:space="preserve">ΠΕΡΙΦΕΡΕΙΑΚΗ ΕΝΟΤΗΤΑ ΤΡΙΚΑΛΩΝ</t>
  </si>
  <si>
    <t xml:space="preserve">REGIONAL UNIT OF TRIKALA</t>
  </si>
  <si>
    <t xml:space="preserve">ΠΕΡΙΦΕΡΕΙΑ ΣΤΕΡΕΑΣ ΕΛΛΑΔΑΣ</t>
  </si>
  <si>
    <t xml:space="preserve">REGION OF STEREA ELLADA</t>
  </si>
  <si>
    <t xml:space="preserve">ΠΕΡΙΦΕΡΕΙΑΚΗ ΕΝΟΤΗΤΑ ΦΘΙΩΤΙΔΑΣ</t>
  </si>
  <si>
    <t xml:space="preserve">REGIONAL UNIT OF FTHIOTIDA</t>
  </si>
  <si>
    <t xml:space="preserve">ΠΕΡΙΦΕΡΕΙΑΚΗ ΕΝΟΤΗΤΑ ΒΟΙΩΤΙΑΣ</t>
  </si>
  <si>
    <t xml:space="preserve">REGIONAL UNIT OF VOIOTIA</t>
  </si>
  <si>
    <t xml:space="preserve">ΠΕΡΙΦΕΡΕΙΑΚΗ ΕΝΟΤΗΤΑ ΕΥΒΟΙΑΣ</t>
  </si>
  <si>
    <t xml:space="preserve">REGIONAL UNIT OF EVOIA</t>
  </si>
  <si>
    <t xml:space="preserve">ΠΕΡΙΦΕΡΕΙΑΚΗ ΕΝΟΤΗΤΑ ΕΥΡΥΤΑΝΙΑΣ</t>
  </si>
  <si>
    <t xml:space="preserve">REGIONAL UNIT OF EVRYTANIA</t>
  </si>
  <si>
    <t xml:space="preserve">ΠΕΡΙΦΕΡΕΙΑΚΗ ΕΝΟΤΗΤΑ ΦΩΚΙΔΑΣ</t>
  </si>
  <si>
    <t xml:space="preserve">REGIONAL UNIT OF FOKIDA</t>
  </si>
  <si>
    <t xml:space="preserve">ΠΕΡΙΦΕΡΕΙΑ ΙΟΝΙΩΝ ΝΗΣΩΝ</t>
  </si>
  <si>
    <t xml:space="preserve">REGION OF IONIA NISIA</t>
  </si>
  <si>
    <t xml:space="preserve">ΠΕΡΙΦΕΡΕΙΑΚΗ ΕΝΟΤΗΤΑ ΚΕΡΚΥΡΑΣ</t>
  </si>
  <si>
    <t xml:space="preserve">REGIONAL UNIT OF KERKYRA</t>
  </si>
  <si>
    <t xml:space="preserve">ΠΕΡΙΦΕΡΕΙΑΚΗ ΕΝΟΤΗΤΑ ΖΑΚΥΝΘΟΥ</t>
  </si>
  <si>
    <t xml:space="preserve">REGIONAL UNIT OF ZAKYNTHOS</t>
  </si>
  <si>
    <t xml:space="preserve">ΠΕΡΙΦΕΡΕΙΑΚΗ ΕΝΟΤΗΤΑ ΙΘΑΚΗΣ</t>
  </si>
  <si>
    <t xml:space="preserve">REGIONAL UNIT OF ITHAKI</t>
  </si>
  <si>
    <t xml:space="preserve">ΠΕΡΙΦΕΡΕΙΑΚΗ ΕΝΟΤΗΤΑ ΚΕΦΑΛΛΗΝΙΑΣ</t>
  </si>
  <si>
    <t xml:space="preserve">REGIONAL UNIT OF KEFALLINIA</t>
  </si>
  <si>
    <t xml:space="preserve">ΠΕΡΙΦΕΡΕΙΑΚΗ ΕΝΟΤΗΤΑ ΛΕΥΚΑΔΑΣ</t>
  </si>
  <si>
    <t xml:space="preserve">REGIONAL UNIT OF LEFKADA</t>
  </si>
  <si>
    <t xml:space="preserve">ΠΕΡΙΦΕΡΕΙΑ ΔΥΤΙΚΗΣ ΕΛΛΑΔΑΣ</t>
  </si>
  <si>
    <t xml:space="preserve">REGION OF DYTIKI ELLADA</t>
  </si>
  <si>
    <t xml:space="preserve">ΠΕΡΙΦΕΡΕΙΑΚΗ ΕΝΟΤΗΤΑ ΑΧΑΪΑΣ</t>
  </si>
  <si>
    <t xml:space="preserve">REGIONAL UNIT OF ACHAIA</t>
  </si>
  <si>
    <t xml:space="preserve">ΠΕΡΙΦΕΡΕΙΑΚΗ ΕΝΟΤΗΤΑ ΑΙΤΩΛΟΑΚΑΡΝΑΝΙΑΣ</t>
  </si>
  <si>
    <t xml:space="preserve">REGIONAL UNIT OF ETOLOAKARNANIA</t>
  </si>
  <si>
    <t xml:space="preserve">ΠΕΡΙΦΕΡΕΙΑΚΗ ΕΝΟΤΗΤΑ ΗΛΕΙΑΣ</t>
  </si>
  <si>
    <t xml:space="preserve">REGIONAL UNIT OF ILEIA</t>
  </si>
  <si>
    <t xml:space="preserve">ΠΕΡΙΦΕΡΕΙΑ ΠΕΛΟΠΟΝΝΗΣΟΥ</t>
  </si>
  <si>
    <t xml:space="preserve">REGION OF PELOPONNISOS</t>
  </si>
  <si>
    <t xml:space="preserve">ΠΕΡΙΦΕΡΕΙΑΚΗ ΕΝΟΤΗΤΑ ΑΡΚΑΔΙΑΣ</t>
  </si>
  <si>
    <t xml:space="preserve">REGIONAL UNIT OF ARKADIA</t>
  </si>
  <si>
    <t xml:space="preserve">ΠΕΡΙΦΕΡΕΙΑΚΗ ΕΝΟΤΗΤΑ ΑΡΓΟΛΙΔΑΣ</t>
  </si>
  <si>
    <t xml:space="preserve">REGIONAL UNIT OF ARGOLIDA</t>
  </si>
  <si>
    <t xml:space="preserve">ΠΕΡΙΦΕΡΕΙΑΚΗ ΕΝΟΤΗΤΑ ΚΟΡΙΝΘΙΑΣ</t>
  </si>
  <si>
    <t xml:space="preserve">REGIONAL UNIT OF KORINTHIA</t>
  </si>
  <si>
    <t xml:space="preserve">ΠΕΡΙΦΕΡΕΙΑΚΗ ΕΝΟΤΗΤΑ ΛΑΚΩΝΙΑΣ</t>
  </si>
  <si>
    <t xml:space="preserve">REGIONAL UNIT OF LAKONIA</t>
  </si>
  <si>
    <t xml:space="preserve">ΠΕΡΙΦΕΡΕΙΑΚΗ ΕΝΟΤΗΤΑ ΜΕΣΣΗΝΙΑΣ</t>
  </si>
  <si>
    <t xml:space="preserve">REGIONAL UNIT OF MESSINIA</t>
  </si>
  <si>
    <t xml:space="preserve">ΠΕΡΙΦΕΡΕΙΑ ΒΟΡΕΙΟΥ ΑΙΓΑΙΟΥ</t>
  </si>
  <si>
    <t xml:space="preserve">REGION OF VOREIO AIGAIO</t>
  </si>
  <si>
    <t xml:space="preserve">ΠΕΡΙΦΕΡΕΙΑΚΗ ΕΝΟΤΗΤΑ ΛΕΣΒΟΥ</t>
  </si>
  <si>
    <t xml:space="preserve">REGIONAL UNIT OF LESVOS</t>
  </si>
  <si>
    <t xml:space="preserve">ΠΕΡΙΦΕΡΕΙΑΚΗ ΕΝΟΤΗΤΑ ΙΚΑΡΙΑΣ</t>
  </si>
  <si>
    <t xml:space="preserve">REGIONAL UNIT OF IKARIA</t>
  </si>
  <si>
    <t xml:space="preserve">ΠΕΡΙΦΕΡΕΙΑΚΗ ΕΝΟΤΗΤΑ ΛΗΜΝΟΥ</t>
  </si>
  <si>
    <t xml:space="preserve">REGIONAL UNIT OF LIMNOS</t>
  </si>
  <si>
    <t xml:space="preserve">ΠΕΡΙΦΕΡΕΙΑΚΗ ΕΝΟΤΗΤΑ ΣΑΜΟΥ</t>
  </si>
  <si>
    <t xml:space="preserve">REGIONAL UNIT OF SAMOS</t>
  </si>
  <si>
    <t xml:space="preserve">ΠΕΡΙΦΕΡΕΙΑΚΗ ΕΝΟΤΗΤΑ ΧΙΟΥ</t>
  </si>
  <si>
    <t xml:space="preserve">REGIONAL UNIT OF CHIOS</t>
  </si>
  <si>
    <t xml:space="preserve">ΠΕΡΙΦΕΡΕΙΑ ΝΟΤΙΟΥ ΑΙΓΑΙΟΥ</t>
  </si>
  <si>
    <t xml:space="preserve">REGION OF NOTIO AIGAIO</t>
  </si>
  <si>
    <t xml:space="preserve">ΠΕΡΙΦΕΡΕΙΑΚΗ ΕΝΟΤΗΤΑ ΣΥΡΟΥ</t>
  </si>
  <si>
    <t xml:space="preserve">REGIONAL UNIT OF SYROS</t>
  </si>
  <si>
    <t xml:space="preserve">ΠΕΡΙΦΕΡΕΙΑΚΗ ΕΝΟΤΗΤΑ ΑΝΔΡΟΥ</t>
  </si>
  <si>
    <t xml:space="preserve">REGIONAL UNIT OF ANDROS</t>
  </si>
  <si>
    <t xml:space="preserve">ΠΕΡΙΦΕΡΕΙΑΚΗ ΕΝΟΤΗΤΑ ΘΗΡΑΣ</t>
  </si>
  <si>
    <t xml:space="preserve">REGIONAL UNIT OF THIRA</t>
  </si>
  <si>
    <t xml:space="preserve">ΠΕΡΙΦΕΡΕΙΑΚΗ ΕΝΟΤΗΤΑ ΚΑΛΥΜΝΟΥ</t>
  </si>
  <si>
    <t xml:space="preserve">REGIONAL UNIT OF KALYMNOS</t>
  </si>
  <si>
    <t xml:space="preserve">ΠΕΡΙΦΕΡΕΙΑΚΗ ΕΝΟΤΗΤΑ ΚΑΡΠΑΘΟΥ</t>
  </si>
  <si>
    <t xml:space="preserve">REGIONAL UNIT OF KARPATHOS</t>
  </si>
  <si>
    <t xml:space="preserve">ΠΕΡΙΦΕΡΕΙΑΚΗ ΕΝΟΤΗΤΑ ΚΕΑΣ ΚΥΘΝΟΥ</t>
  </si>
  <si>
    <t xml:space="preserve">REGIONAL UNIT OF KEA KYTHNOS</t>
  </si>
  <si>
    <t xml:space="preserve">ΠΕΡΙΦΕΡΕΙΑΚΗ ΕΝΟΤΗΤΑ ΚΩ</t>
  </si>
  <si>
    <t xml:space="preserve">REGIONAL UNIT OF KOS</t>
  </si>
  <si>
    <t xml:space="preserve">ΠΕΡΙΦΕΡΕΙΑΚΗ ΕΝΟΤΗΤΑ ΜΗΛΟΥ</t>
  </si>
  <si>
    <t xml:space="preserve">REGIONAL UNIT OF MILOS</t>
  </si>
  <si>
    <t xml:space="preserve">ΠΕΡΙΦΕΡΕΙΑΚΗ ΕΝΟΤΗΤΑ ΜΥΚΟΝΟΥ</t>
  </si>
  <si>
    <t xml:space="preserve">REGIONAL UNIT OF MYKONOS</t>
  </si>
  <si>
    <t xml:space="preserve">ΠΕΡΙΦΕΡΕΙΑΚΗ ΕΝΟΤΗΤΑ ΝΑΞΟΥ</t>
  </si>
  <si>
    <t xml:space="preserve">REGIONAL UNIT OF NAXOS</t>
  </si>
  <si>
    <t xml:space="preserve">ΠΕΡΙΦΕΡΕΙΑΚΗ ΕΝΟΤΗΤΑ ΠΑΡΟΥ</t>
  </si>
  <si>
    <t xml:space="preserve">REGIONAL UNIT OF PAROS</t>
  </si>
  <si>
    <t xml:space="preserve">ΠΕΡΙΦΕΡΕΙΑΚΗ ΕΝΟΤΗΤΑ ΡΟΔΟΥ</t>
  </si>
  <si>
    <t xml:space="preserve">REGIONAL UNIT OF RODOS</t>
  </si>
  <si>
    <t xml:space="preserve">ΠΕΡΙΦΕΡΕΙΑΚΗ ΕΝΟΤΗΤΑ ΤΗΝΟΥ</t>
  </si>
  <si>
    <t xml:space="preserve">REGIONAL UNIT OF TINOS</t>
  </si>
  <si>
    <t xml:space="preserve">ΠΕΡΙΦΕΡΕΙΑ ΚΡΗΤΗΣ</t>
  </si>
  <si>
    <t xml:space="preserve">REGION OF KRITI</t>
  </si>
  <si>
    <t xml:space="preserve">ΠΕΡΙΦΕΡΕΙΑΚΗ ΕΝΟΤΗΤΑ ΗΡΑΚΛΕΙΟΥ</t>
  </si>
  <si>
    <t xml:space="preserve">REGIONAL UNIT OF IRAKLEIO</t>
  </si>
  <si>
    <t xml:space="preserve">ΠΕΡΙΦΕΡΕΙΑΚΗ ΕΝΟΤΗΤΑ ΛΑΣΙΘΙΟΥ</t>
  </si>
  <si>
    <t xml:space="preserve">REGIONAL UNIT OF LASITHI</t>
  </si>
  <si>
    <t xml:space="preserve">ΠΕΡΙΦΕΡΕΙΑΚΗ ΕΝΟΤΗΤΑ ΡΕΘΥΜΝΟΥ</t>
  </si>
  <si>
    <t xml:space="preserve">REGIONAL UNIT OF RETHYMNO</t>
  </si>
  <si>
    <t xml:space="preserve">ΠΕΡΙΦΕΡΕΙΑΚΗ ΕΝΟΤΗΤΑ ΧΑΝΙΩΝ</t>
  </si>
  <si>
    <t xml:space="preserve">REGIONAL UNIT OF CHANIA</t>
  </si>
  <si>
    <t xml:space="preserve">Περιφέρεια</t>
  </si>
  <si>
    <t xml:space="preserve">Αριθμός  Number      </t>
  </si>
  <si>
    <t xml:space="preserve">Όροφοι Storeys      </t>
  </si>
  <si>
    <t xml:space="preserve">Όγκος Volume       </t>
  </si>
  <si>
    <t xml:space="preserve">Επιφάνεια Surface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</si>
</sst>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 &quot;"/>
    <numFmt numFmtId="166" formatCode="yyyy\-mm\-dd"/>
  </numFmts>
  <fonts count="12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61"/>
    </font>
    <font>
      <b val="true"/>
      <i val="true"/>
      <sz val="10"/>
      <name val="Arial"/>
      <family val="2"/>
      <charset val="161"/>
    </font>
    <font>
      <b val="true"/>
      <i val="true"/>
      <sz val="11"/>
      <name val="Calibri"/>
      <family val="2"/>
      <charset val="161"/>
    </font>
    <font>
      <b val="true"/>
      <sz val="10"/>
      <name val="Arial"/>
      <family val="2"/>
      <charset val="161"/>
    </font>
    <font>
      <b val="true"/>
      <sz val="11"/>
      <name val="Calibri"/>
      <family val="2"/>
      <charset val="161"/>
    </font>
    <font>
      <b val="true"/>
      <sz val="11"/>
      <color rgb="FF000000"/>
      <name val="Calibri"/>
      <family val="2"/>
      <charset val="161"/>
    </font>
    <font>
      <i val="true"/>
      <sz val="10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6" activeCellId="0" sqref="K6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1" width="48.43"/>
    <col collapsed="false" customWidth="true" hidden="false" outlineLevel="0" max="5" min="2" style="2" width="11.66"/>
    <col collapsed="false" customWidth="true" hidden="false" outlineLevel="0" max="6" min="6" style="1" width="51.43"/>
    <col collapsed="false" customWidth="true" hidden="false" outlineLevel="0" max="7" min="7" style="1" width="23.79"/>
    <col collapsed="false" customWidth="true" hidden="false" outlineLevel="0" max="8" min="8" style="1" width="12.24"/>
  </cols>
  <sheetData>
    <row r="1" customFormat="false" ht="34.2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</row>
    <row r="2" customFormat="false" ht="17.7" hidden="false" customHeight="true" outlineLevel="0" collapsed="false">
      <c r="A2" s="7" t="s">
        <v>8</v>
      </c>
      <c r="B2" s="8" t="n">
        <v>11650</v>
      </c>
      <c r="C2" s="8" t="n">
        <v>24292</v>
      </c>
      <c r="D2" s="8" t="n">
        <v>20608577</v>
      </c>
      <c r="E2" s="8" t="n">
        <v>4731479</v>
      </c>
      <c r="F2" s="9" t="s">
        <v>9</v>
      </c>
      <c r="G2" s="10" t="str">
        <f aca="false">IF(ISNUMBER(SEARCH("Σύνολο Χώρας",A2)),"Country Total",IF(ISNUMBER(SEARCH("ΠΕΡΙΦΕΡΕΙΑΚΗ ΕΝΟΤΗΤΑ",A2)),"Regional Unit",IF(ISNUMBER(SEARCH("ΠΕΡΙΦΕΡΕΙΑ",A2)),"Region","Check text")))</f>
        <v>Country Total</v>
      </c>
      <c r="H2" s="11" t="n">
        <v>45658</v>
      </c>
    </row>
    <row r="3" customFormat="false" ht="14.4" hidden="false" customHeight="false" outlineLevel="0" collapsed="false">
      <c r="A3" s="12" t="s">
        <v>10</v>
      </c>
      <c r="B3" s="13" t="n">
        <v>2134</v>
      </c>
      <c r="C3" s="13" t="n">
        <v>6851</v>
      </c>
      <c r="D3" s="13" t="n">
        <v>5781828</v>
      </c>
      <c r="E3" s="13" t="n">
        <v>1320364</v>
      </c>
      <c r="F3" s="14" t="s">
        <v>11</v>
      </c>
      <c r="G3" s="10" t="str">
        <f aca="false">IF(ISNUMBER(SEARCH("Σύνολο Χώρας",A3)),"Country Total",IF(ISNUMBER(SEARCH("ΠΕΡΙΦΕΡΕΙΑΚΗ ΕΝΟΤΗΤΑ",A3)),"Regional Unit",IF(ISNUMBER(SEARCH("ΠΕΡΙΦΕΡΕΙΑ",A3)),"Region","Check text")))</f>
        <v>Region</v>
      </c>
      <c r="H3" s="11" t="n">
        <v>45658</v>
      </c>
    </row>
    <row r="4" customFormat="false" ht="30.3" hidden="false" customHeight="true" outlineLevel="0" collapsed="false">
      <c r="A4" s="15" t="s">
        <v>12</v>
      </c>
      <c r="B4" s="16" t="n">
        <v>149</v>
      </c>
      <c r="C4" s="16" t="n">
        <v>794</v>
      </c>
      <c r="D4" s="16" t="n">
        <v>323937</v>
      </c>
      <c r="E4" s="16" t="n">
        <v>97584</v>
      </c>
      <c r="F4" s="17" t="s">
        <v>13</v>
      </c>
      <c r="G4" s="10" t="str">
        <f aca="false">IF(ISNUMBER(SEARCH("Σύνολο Χώρας",A4)),"Country Total",IF(ISNUMBER(SEARCH("ΠΕΡΙΦΕΡΕΙΑΚΗ ΕΝΟΤΗΤΑ",A4)),"Regional Unit",IF(ISNUMBER(SEARCH("ΠΕΡΙΦΕΡΕΙΑ",A4)),"Region","Check text")))</f>
        <v>Regional Unit</v>
      </c>
      <c r="H4" s="11" t="n">
        <v>45658</v>
      </c>
    </row>
    <row r="5" customFormat="false" ht="30.3" hidden="false" customHeight="true" outlineLevel="0" collapsed="false">
      <c r="A5" s="15" t="s">
        <v>14</v>
      </c>
      <c r="B5" s="16" t="n">
        <v>346</v>
      </c>
      <c r="C5" s="16" t="n">
        <v>1226</v>
      </c>
      <c r="D5" s="16" t="n">
        <v>988671</v>
      </c>
      <c r="E5" s="16" t="n">
        <v>270013</v>
      </c>
      <c r="F5" s="17" t="s">
        <v>15</v>
      </c>
      <c r="G5" s="10" t="str">
        <f aca="false">IF(ISNUMBER(SEARCH("Σύνολο Χώρας",A5)),"Country Total",IF(ISNUMBER(SEARCH("ΠΕΡΙΦΕΡΕΙΑΚΗ ΕΝΟΤΗΤΑ",A5)),"Regional Unit",IF(ISNUMBER(SEARCH("ΠΕΡΙΦΕΡΕΙΑ",A5)),"Region","Check text")))</f>
        <v>Regional Unit</v>
      </c>
      <c r="H5" s="11" t="n">
        <v>45658</v>
      </c>
    </row>
    <row r="6" customFormat="false" ht="30.3" hidden="false" customHeight="true" outlineLevel="0" collapsed="false">
      <c r="A6" s="15" t="s">
        <v>16</v>
      </c>
      <c r="B6" s="16" t="n">
        <v>177</v>
      </c>
      <c r="C6" s="16" t="n">
        <v>735</v>
      </c>
      <c r="D6" s="16" t="n">
        <v>277774</v>
      </c>
      <c r="E6" s="16" t="n">
        <v>79479</v>
      </c>
      <c r="F6" s="17" t="s">
        <v>17</v>
      </c>
      <c r="G6" s="10" t="str">
        <f aca="false">IF(ISNUMBER(SEARCH("Σύνολο Χώρας",A6)),"Country Total",IF(ISNUMBER(SEARCH("ΠΕΡΙΦΕΡΕΙΑΚΗ ΕΝΟΤΗΤΑ",A6)),"Regional Unit",IF(ISNUMBER(SEARCH("ΠΕΡΙΦΕΡΕΙΑ",A6)),"Region","Check text")))</f>
        <v>Regional Unit</v>
      </c>
      <c r="H6" s="11" t="n">
        <v>45658</v>
      </c>
    </row>
    <row r="7" customFormat="false" ht="30.3" hidden="false" customHeight="true" outlineLevel="0" collapsed="false">
      <c r="A7" s="15" t="s">
        <v>18</v>
      </c>
      <c r="B7" s="16" t="n">
        <v>239</v>
      </c>
      <c r="C7" s="16" t="n">
        <v>1187</v>
      </c>
      <c r="D7" s="16" t="n">
        <v>882002</v>
      </c>
      <c r="E7" s="16" t="n">
        <v>249087</v>
      </c>
      <c r="F7" s="17" t="s">
        <v>19</v>
      </c>
      <c r="G7" s="10" t="str">
        <f aca="false">IF(ISNUMBER(SEARCH("Σύνολο Χώρας",A7)),"Country Total",IF(ISNUMBER(SEARCH("ΠΕΡΙΦΕΡΕΙΑΚΗ ΕΝΟΤΗΤΑ",A7)),"Regional Unit",IF(ISNUMBER(SEARCH("ΠΕΡΙΦΕΡΕΙΑ",A7)),"Region","Check text")))</f>
        <v>Regional Unit</v>
      </c>
      <c r="H7" s="11" t="n">
        <v>45658</v>
      </c>
    </row>
    <row r="8" customFormat="false" ht="14.4" hidden="false" customHeight="false" outlineLevel="0" collapsed="false">
      <c r="A8" s="18" t="s">
        <v>20</v>
      </c>
      <c r="B8" s="16" t="n">
        <v>793</v>
      </c>
      <c r="C8" s="16" t="n">
        <v>1645</v>
      </c>
      <c r="D8" s="16" t="n">
        <v>1361519</v>
      </c>
      <c r="E8" s="16" t="n">
        <v>315318</v>
      </c>
      <c r="F8" s="17" t="s">
        <v>21</v>
      </c>
      <c r="G8" s="10" t="str">
        <f aca="false">IF(ISNUMBER(SEARCH("Σύνολο Χώρας",A8)),"Country Total",IF(ISNUMBER(SEARCH("ΠΕΡΙΦΕΡΕΙΑΚΗ ΕΝΟΤΗΤΑ",A8)),"Regional Unit",IF(ISNUMBER(SEARCH("ΠΕΡΙΦΕΡΕΙΑ",A8)),"Region","Check text")))</f>
        <v>Regional Unit</v>
      </c>
      <c r="H8" s="11" t="n">
        <v>45658</v>
      </c>
    </row>
    <row r="9" customFormat="false" ht="14.4" hidden="false" customHeight="false" outlineLevel="0" collapsed="false">
      <c r="A9" s="18" t="s">
        <v>22</v>
      </c>
      <c r="B9" s="16" t="n">
        <v>136</v>
      </c>
      <c r="C9" s="16" t="n">
        <v>251</v>
      </c>
      <c r="D9" s="16" t="n">
        <v>1431710</v>
      </c>
      <c r="E9" s="16" t="n">
        <v>173500</v>
      </c>
      <c r="F9" s="17" t="s">
        <v>23</v>
      </c>
      <c r="G9" s="10" t="str">
        <f aca="false">IF(ISNUMBER(SEARCH("Σύνολο Χώρας",A9)),"Country Total",IF(ISNUMBER(SEARCH("ΠΕΡΙΦΕΡΕΙΑΚΗ ΕΝΟΤΗΤΑ",A9)),"Regional Unit",IF(ISNUMBER(SEARCH("ΠΕΡΙΦΕΡΕΙΑ",A9)),"Region","Check text")))</f>
        <v>Regional Unit</v>
      </c>
      <c r="H9" s="11" t="n">
        <v>45658</v>
      </c>
    </row>
    <row r="10" customFormat="false" ht="14.4" hidden="false" customHeight="false" outlineLevel="0" collapsed="false">
      <c r="A10" s="18" t="s">
        <v>24</v>
      </c>
      <c r="B10" s="16" t="n">
        <v>133</v>
      </c>
      <c r="C10" s="16" t="n">
        <v>747</v>
      </c>
      <c r="D10" s="16" t="n">
        <v>354448</v>
      </c>
      <c r="E10" s="16" t="n">
        <v>92589</v>
      </c>
      <c r="F10" s="17" t="s">
        <v>25</v>
      </c>
      <c r="G10" s="10" t="str">
        <f aca="false">IF(ISNUMBER(SEARCH("Σύνολο Χώρας",A10)),"Country Total",IF(ISNUMBER(SEARCH("ΠΕΡΙΦΕΡΕΙΑΚΗ ΕΝΟΤΗΤΑ",A10)),"Regional Unit",IF(ISNUMBER(SEARCH("ΠΕΡΙΦΕΡΕΙΑ",A10)),"Region","Check text")))</f>
        <v>Regional Unit</v>
      </c>
      <c r="H10" s="11" t="n">
        <v>45658</v>
      </c>
    </row>
    <row r="11" customFormat="false" ht="14.4" hidden="false" customHeight="false" outlineLevel="0" collapsed="false">
      <c r="A11" s="18" t="s">
        <v>26</v>
      </c>
      <c r="B11" s="16" t="n">
        <v>161</v>
      </c>
      <c r="C11" s="16" t="n">
        <v>266</v>
      </c>
      <c r="D11" s="16" t="n">
        <v>161767</v>
      </c>
      <c r="E11" s="16" t="n">
        <v>42794</v>
      </c>
      <c r="F11" s="17" t="s">
        <v>27</v>
      </c>
      <c r="G11" s="10" t="str">
        <f aca="false">IF(ISNUMBER(SEARCH("Σύνολο Χώρας",A11)),"Country Total",IF(ISNUMBER(SEARCH("ΠΕΡΙΦΕΡΕΙΑΚΗ ΕΝΟΤΗΤΑ",A11)),"Regional Unit",IF(ISNUMBER(SEARCH("ΠΕΡΙΦΕΡΕΙΑ",A11)),"Region","Check text")))</f>
        <v>Regional Unit</v>
      </c>
      <c r="H11" s="11" t="n">
        <v>45658</v>
      </c>
    </row>
    <row r="12" customFormat="false" ht="14.4" hidden="false" customHeight="false" outlineLevel="0" collapsed="false">
      <c r="A12" s="19" t="s">
        <v>28</v>
      </c>
      <c r="B12" s="13" t="n">
        <v>714</v>
      </c>
      <c r="C12" s="13" t="n">
        <v>1568</v>
      </c>
      <c r="D12" s="13" t="n">
        <v>1184646</v>
      </c>
      <c r="E12" s="13" t="n">
        <v>289840</v>
      </c>
      <c r="F12" s="14" t="s">
        <v>29</v>
      </c>
      <c r="G12" s="10" t="str">
        <f aca="false">IF(ISNUMBER(SEARCH("Σύνολο Χώρας",A12)),"Country Total",IF(ISNUMBER(SEARCH("ΠΕΡΙΦΕΡΕΙΑΚΗ ΕΝΟΤΗΤΑ",A12)),"Regional Unit",IF(ISNUMBER(SEARCH("ΠΕΡΙΦΕΡΕΙΑ",A12)),"Region","Check text")))</f>
        <v>Region</v>
      </c>
      <c r="H12" s="11" t="n">
        <v>45658</v>
      </c>
    </row>
    <row r="13" customFormat="false" ht="14.4" hidden="false" customHeight="true" outlineLevel="0" collapsed="false">
      <c r="A13" s="18" t="s">
        <v>30</v>
      </c>
      <c r="B13" s="16" t="n">
        <v>91</v>
      </c>
      <c r="C13" s="16" t="n">
        <v>179</v>
      </c>
      <c r="D13" s="16" t="n">
        <v>101224</v>
      </c>
      <c r="E13" s="16" t="n">
        <v>26423</v>
      </c>
      <c r="F13" s="17" t="s">
        <v>31</v>
      </c>
      <c r="G13" s="10" t="str">
        <f aca="false">IF(ISNUMBER(SEARCH("Σύνολο Χώρας",A13)),"Country Total",IF(ISNUMBER(SEARCH("ΠΕΡΙΦΕΡΕΙΑΚΗ ΕΝΟΤΗΤΑ",A13)),"Regional Unit",IF(ISNUMBER(SEARCH("ΠΕΡΙΦΕΡΕΙΑ",A13)),"Region","Check text")))</f>
        <v>Regional Unit</v>
      </c>
      <c r="H13" s="11" t="n">
        <v>45658</v>
      </c>
    </row>
    <row r="14" customFormat="false" ht="14.4" hidden="false" customHeight="true" outlineLevel="0" collapsed="false">
      <c r="A14" s="18" t="s">
        <v>32</v>
      </c>
      <c r="B14" s="16" t="n">
        <v>59</v>
      </c>
      <c r="C14" s="16" t="n">
        <v>79</v>
      </c>
      <c r="D14" s="16" t="n">
        <v>167881</v>
      </c>
      <c r="E14" s="16" t="n">
        <v>25232</v>
      </c>
      <c r="F14" s="17" t="s">
        <v>33</v>
      </c>
      <c r="G14" s="10" t="str">
        <f aca="false">IF(ISNUMBER(SEARCH("Σύνολο Χώρας",A14)),"Country Total",IF(ISNUMBER(SEARCH("ΠΕΡΙΦΕΡΕΙΑΚΗ ΕΝΟΤΗΤΑ",A14)),"Regional Unit",IF(ISNUMBER(SEARCH("ΠΕΡΙΦΕΡΕΙΑ",A14)),"Region","Check text")))</f>
        <v>Regional Unit</v>
      </c>
      <c r="H14" s="11" t="n">
        <v>45658</v>
      </c>
    </row>
    <row r="15" customFormat="false" ht="14.4" hidden="false" customHeight="true" outlineLevel="0" collapsed="false">
      <c r="A15" s="18" t="s">
        <v>34</v>
      </c>
      <c r="B15" s="16" t="n">
        <v>124</v>
      </c>
      <c r="C15" s="16" t="n">
        <v>337</v>
      </c>
      <c r="D15" s="16" t="n">
        <v>290225</v>
      </c>
      <c r="E15" s="16" t="n">
        <v>66460</v>
      </c>
      <c r="F15" s="17" t="s">
        <v>35</v>
      </c>
      <c r="G15" s="10" t="str">
        <f aca="false">IF(ISNUMBER(SEARCH("Σύνολο Χώρας",A15)),"Country Total",IF(ISNUMBER(SEARCH("ΠΕΡΙΦΕΡΕΙΑΚΗ ΕΝΟΤΗΤΑ",A15)),"Regional Unit",IF(ISNUMBER(SEARCH("ΠΕΡΙΦΕΡΕΙΑ",A15)),"Region","Check text")))</f>
        <v>Regional Unit</v>
      </c>
      <c r="H15" s="11" t="n">
        <v>45658</v>
      </c>
    </row>
    <row r="16" customFormat="false" ht="14.4" hidden="false" customHeight="true" outlineLevel="0" collapsed="false">
      <c r="A16" s="18" t="s">
        <v>36</v>
      </c>
      <c r="B16" s="16" t="n">
        <v>113</v>
      </c>
      <c r="C16" s="16" t="n">
        <v>219</v>
      </c>
      <c r="D16" s="16" t="n">
        <v>129229</v>
      </c>
      <c r="E16" s="16" t="n">
        <v>36131</v>
      </c>
      <c r="F16" s="17" t="s">
        <v>37</v>
      </c>
      <c r="G16" s="10" t="str">
        <f aca="false">IF(ISNUMBER(SEARCH("Σύνολο Χώρας",A16)),"Country Total",IF(ISNUMBER(SEARCH("ΠΕΡΙΦΕΡΕΙΑΚΗ ΕΝΟΤΗΤΑ",A16)),"Regional Unit",IF(ISNUMBER(SEARCH("ΠΕΡΙΦΕΡΕΙΑ",A16)),"Region","Check text")))</f>
        <v>Regional Unit</v>
      </c>
      <c r="H16" s="11" t="n">
        <v>45658</v>
      </c>
    </row>
    <row r="17" customFormat="false" ht="14.4" hidden="false" customHeight="true" outlineLevel="0" collapsed="false">
      <c r="A17" s="18" t="s">
        <v>38</v>
      </c>
      <c r="B17" s="16" t="n">
        <v>228</v>
      </c>
      <c r="C17" s="16" t="n">
        <v>450</v>
      </c>
      <c r="D17" s="16" t="n">
        <v>324858</v>
      </c>
      <c r="E17" s="16" t="n">
        <v>86545</v>
      </c>
      <c r="F17" s="17" t="s">
        <v>39</v>
      </c>
      <c r="G17" s="10" t="str">
        <f aca="false">IF(ISNUMBER(SEARCH("Σύνολο Χώρας",A17)),"Country Total",IF(ISNUMBER(SEARCH("ΠΕΡΙΦΕΡΕΙΑΚΗ ΕΝΟΤΗΤΑ",A17)),"Regional Unit",IF(ISNUMBER(SEARCH("ΠΕΡΙΦΕΡΕΙΑ",A17)),"Region","Check text")))</f>
        <v>Regional Unit</v>
      </c>
      <c r="H17" s="11" t="n">
        <v>45658</v>
      </c>
    </row>
    <row r="18" customFormat="false" ht="14.4" hidden="false" customHeight="true" outlineLevel="0" collapsed="false">
      <c r="A18" s="18" t="s">
        <v>40</v>
      </c>
      <c r="B18" s="16" t="n">
        <v>99</v>
      </c>
      <c r="C18" s="16" t="n">
        <v>304</v>
      </c>
      <c r="D18" s="16" t="n">
        <v>171229</v>
      </c>
      <c r="E18" s="16" t="n">
        <v>49049</v>
      </c>
      <c r="F18" s="17" t="s">
        <v>41</v>
      </c>
      <c r="G18" s="10" t="str">
        <f aca="false">IF(ISNUMBER(SEARCH("Σύνολο Χώρας",A18)),"Country Total",IF(ISNUMBER(SEARCH("ΠΕΡΙΦΕΡΕΙΑΚΗ ΕΝΟΤΗΤΑ",A18)),"Regional Unit",IF(ISNUMBER(SEARCH("ΠΕΡΙΦΕΡΕΙΑ",A18)),"Region","Check text")))</f>
        <v>Regional Unit</v>
      </c>
      <c r="H18" s="11" t="n">
        <v>45658</v>
      </c>
    </row>
    <row r="19" customFormat="false" ht="14.4" hidden="false" customHeight="true" outlineLevel="0" collapsed="false">
      <c r="A19" s="19" t="s">
        <v>42</v>
      </c>
      <c r="B19" s="13" t="n">
        <v>1363</v>
      </c>
      <c r="C19" s="13" t="n">
        <v>2886</v>
      </c>
      <c r="D19" s="13" t="n">
        <v>3553809</v>
      </c>
      <c r="E19" s="13" t="n">
        <v>698026</v>
      </c>
      <c r="F19" s="14" t="s">
        <v>43</v>
      </c>
      <c r="G19" s="10" t="str">
        <f aca="false">IF(ISNUMBER(SEARCH("Σύνολο Χώρας",A19)),"Country Total",IF(ISNUMBER(SEARCH("ΠΕΡΙΦΕΡΕΙΑΚΗ ΕΝΟΤΗΤΑ",A19)),"Regional Unit",IF(ISNUMBER(SEARCH("ΠΕΡΙΦΕΡΕΙΑ",A19)),"Region","Check text")))</f>
        <v>Region</v>
      </c>
      <c r="H19" s="11" t="n">
        <v>45658</v>
      </c>
    </row>
    <row r="20" customFormat="false" ht="14.4" hidden="false" customHeight="true" outlineLevel="0" collapsed="false">
      <c r="A20" s="18" t="s">
        <v>44</v>
      </c>
      <c r="B20" s="16" t="n">
        <v>636</v>
      </c>
      <c r="C20" s="16" t="n">
        <v>1606</v>
      </c>
      <c r="D20" s="16" t="n">
        <v>2168014</v>
      </c>
      <c r="E20" s="16" t="n">
        <v>387319</v>
      </c>
      <c r="F20" s="17" t="s">
        <v>45</v>
      </c>
      <c r="G20" s="10" t="str">
        <f aca="false">IF(ISNUMBER(SEARCH("Σύνολο Χώρας",A20)),"Country Total",IF(ISNUMBER(SEARCH("ΠΕΡΙΦΕΡΕΙΑΚΗ ΕΝΟΤΗΤΑ",A20)),"Regional Unit",IF(ISNUMBER(SEARCH("ΠΕΡΙΦΕΡΕΙΑ",A20)),"Region","Check text")))</f>
        <v>Regional Unit</v>
      </c>
      <c r="H20" s="11" t="n">
        <v>45658</v>
      </c>
    </row>
    <row r="21" customFormat="false" ht="14.4" hidden="false" customHeight="false" outlineLevel="0" collapsed="false">
      <c r="A21" s="18" t="s">
        <v>46</v>
      </c>
      <c r="B21" s="16" t="n">
        <v>57</v>
      </c>
      <c r="C21" s="16" t="n">
        <v>91</v>
      </c>
      <c r="D21" s="16" t="n">
        <v>293535</v>
      </c>
      <c r="E21" s="16" t="n">
        <v>42765</v>
      </c>
      <c r="F21" s="17" t="s">
        <v>47</v>
      </c>
      <c r="G21" s="10" t="str">
        <f aca="false">IF(ISNUMBER(SEARCH("Σύνολο Χώρας",A21)),"Country Total",IF(ISNUMBER(SEARCH("ΠΕΡΙΦΕΡΕΙΑΚΗ ΕΝΟΤΗΤΑ",A21)),"Regional Unit",IF(ISNUMBER(SEARCH("ΠΕΡΙΦΕΡΕΙΑ",A21)),"Region","Check text")))</f>
        <v>Regional Unit</v>
      </c>
      <c r="H21" s="11" t="n">
        <v>45658</v>
      </c>
    </row>
    <row r="22" customFormat="false" ht="14.4" hidden="false" customHeight="false" outlineLevel="0" collapsed="false">
      <c r="A22" s="18" t="s">
        <v>48</v>
      </c>
      <c r="B22" s="16" t="n">
        <v>35</v>
      </c>
      <c r="C22" s="16" t="n">
        <v>44</v>
      </c>
      <c r="D22" s="16" t="n">
        <v>62000</v>
      </c>
      <c r="E22" s="16" t="n">
        <v>11301</v>
      </c>
      <c r="F22" s="17" t="s">
        <v>49</v>
      </c>
      <c r="G22" s="10" t="str">
        <f aca="false">IF(ISNUMBER(SEARCH("Σύνολο Χώρας",A22)),"Country Total",IF(ISNUMBER(SEARCH("ΠΕΡΙΦΕΡΕΙΑΚΗ ΕΝΟΤΗΤΑ",A22)),"Regional Unit",IF(ISNUMBER(SEARCH("ΠΕΡΙΦΕΡΕΙΑ",A22)),"Region","Check text")))</f>
        <v>Regional Unit</v>
      </c>
      <c r="H22" s="11" t="n">
        <v>45658</v>
      </c>
    </row>
    <row r="23" customFormat="false" ht="16.35" hidden="false" customHeight="true" outlineLevel="0" collapsed="false">
      <c r="A23" s="18" t="s">
        <v>50</v>
      </c>
      <c r="B23" s="16" t="n">
        <v>98</v>
      </c>
      <c r="C23" s="16" t="n">
        <v>170</v>
      </c>
      <c r="D23" s="16" t="n">
        <v>170603</v>
      </c>
      <c r="E23" s="16" t="n">
        <v>37951</v>
      </c>
      <c r="F23" s="17" t="s">
        <v>51</v>
      </c>
      <c r="G23" s="10" t="str">
        <f aca="false">IF(ISNUMBER(SEARCH("Σύνολο Χώρας",A23)),"Country Total",IF(ISNUMBER(SEARCH("ΠΕΡΙΦΕΡΕΙΑΚΗ ΕΝΟΤΗΤΑ",A23)),"Regional Unit",IF(ISNUMBER(SEARCH("ΠΕΡΙΦΕΡΕΙΑ",A23)),"Region","Check text")))</f>
        <v>Regional Unit</v>
      </c>
      <c r="H23" s="11" t="n">
        <v>45658</v>
      </c>
    </row>
    <row r="24" customFormat="false" ht="14.4" hidden="false" customHeight="false" outlineLevel="0" collapsed="false">
      <c r="A24" s="18" t="s">
        <v>52</v>
      </c>
      <c r="B24" s="16" t="n">
        <v>150</v>
      </c>
      <c r="C24" s="16" t="n">
        <v>299</v>
      </c>
      <c r="D24" s="16" t="n">
        <v>279225</v>
      </c>
      <c r="E24" s="16" t="n">
        <v>61695</v>
      </c>
      <c r="F24" s="17" t="s">
        <v>53</v>
      </c>
      <c r="G24" s="10" t="str">
        <f aca="false">IF(ISNUMBER(SEARCH("Σύνολο Χώρας",A24)),"Country Total",IF(ISNUMBER(SEARCH("ΠΕΡΙΦΕΡΕΙΑΚΗ ΕΝΟΤΗΤΑ",A24)),"Regional Unit",IF(ISNUMBER(SEARCH("ΠΕΡΙΦΕΡΕΙΑ",A24)),"Region","Check text")))</f>
        <v>Regional Unit</v>
      </c>
      <c r="H24" s="11" t="n">
        <v>45658</v>
      </c>
    </row>
    <row r="25" customFormat="false" ht="14.4" hidden="false" customHeight="false" outlineLevel="0" collapsed="false">
      <c r="A25" s="18" t="s">
        <v>54</v>
      </c>
      <c r="B25" s="16" t="n">
        <v>101</v>
      </c>
      <c r="C25" s="16" t="n">
        <v>180</v>
      </c>
      <c r="D25" s="16" t="n">
        <v>129065</v>
      </c>
      <c r="E25" s="16" t="n">
        <v>32838</v>
      </c>
      <c r="F25" s="17" t="s">
        <v>55</v>
      </c>
      <c r="G25" s="10" t="str">
        <f aca="false">IF(ISNUMBER(SEARCH("Σύνολο Χώρας",A25)),"Country Total",IF(ISNUMBER(SEARCH("ΠΕΡΙΦΕΡΕΙΑΚΗ ΕΝΟΤΗΤΑ",A25)),"Regional Unit",IF(ISNUMBER(SEARCH("ΠΕΡΙΦΕΡΕΙΑ",A25)),"Region","Check text")))</f>
        <v>Regional Unit</v>
      </c>
      <c r="H25" s="11" t="n">
        <v>45658</v>
      </c>
    </row>
    <row r="26" customFormat="false" ht="14.4" hidden="false" customHeight="false" outlineLevel="0" collapsed="false">
      <c r="A26" s="18" t="s">
        <v>56</v>
      </c>
      <c r="B26" s="16" t="n">
        <v>286</v>
      </c>
      <c r="C26" s="16" t="n">
        <v>496</v>
      </c>
      <c r="D26" s="16" t="n">
        <v>451367</v>
      </c>
      <c r="E26" s="16" t="n">
        <v>124157</v>
      </c>
      <c r="F26" s="17" t="s">
        <v>57</v>
      </c>
      <c r="G26" s="10" t="str">
        <f aca="false">IF(ISNUMBER(SEARCH("Σύνολο Χώρας",A26)),"Country Total",IF(ISNUMBER(SEARCH("ΠΕΡΙΦΕΡΕΙΑΚΗ ΕΝΟΤΗΤΑ",A26)),"Regional Unit",IF(ISNUMBER(SEARCH("ΠΕΡΙΦΕΡΕΙΑ",A26)),"Region","Check text")))</f>
        <v>Regional Unit</v>
      </c>
      <c r="H26" s="11" t="n">
        <v>45658</v>
      </c>
    </row>
    <row r="27" customFormat="false" ht="14.4" hidden="false" customHeight="false" outlineLevel="0" collapsed="false">
      <c r="A27" s="19" t="s">
        <v>58</v>
      </c>
      <c r="B27" s="13" t="n">
        <v>110</v>
      </c>
      <c r="C27" s="13" t="n">
        <v>170</v>
      </c>
      <c r="D27" s="13" t="n">
        <v>291672</v>
      </c>
      <c r="E27" s="13" t="n">
        <v>49964</v>
      </c>
      <c r="F27" s="14" t="s">
        <v>59</v>
      </c>
      <c r="G27" s="10" t="str">
        <f aca="false">IF(ISNUMBER(SEARCH("Σύνολο Χώρας",A27)),"Country Total",IF(ISNUMBER(SEARCH("ΠΕΡΙΦΕΡΕΙΑΚΗ ΕΝΟΤΗΤΑ",A27)),"Regional Unit",IF(ISNUMBER(SEARCH("ΠΕΡΙΦΕΡΕΙΑ",A27)),"Region","Check text")))</f>
        <v>Region</v>
      </c>
      <c r="H27" s="11" t="n">
        <v>45658</v>
      </c>
    </row>
    <row r="28" customFormat="false" ht="14.4" hidden="false" customHeight="false" outlineLevel="0" collapsed="false">
      <c r="A28" s="18" t="s">
        <v>60</v>
      </c>
      <c r="B28" s="16" t="n">
        <v>60</v>
      </c>
      <c r="C28" s="16" t="n">
        <v>101</v>
      </c>
      <c r="D28" s="16" t="n">
        <v>97494</v>
      </c>
      <c r="E28" s="16" t="n">
        <v>20791</v>
      </c>
      <c r="F28" s="17" t="s">
        <v>61</v>
      </c>
      <c r="G28" s="10" t="str">
        <f aca="false">IF(ISNUMBER(SEARCH("Σύνολο Χώρας",A28)),"Country Total",IF(ISNUMBER(SEARCH("ΠΕΡΙΦΕΡΕΙΑΚΗ ΕΝΟΤΗΤΑ",A28)),"Regional Unit",IF(ISNUMBER(SEARCH("ΠΕΡΙΦΕΡΕΙΑ",A28)),"Region","Check text")))</f>
        <v>Regional Unit</v>
      </c>
      <c r="H28" s="11" t="n">
        <v>45658</v>
      </c>
    </row>
    <row r="29" customFormat="false" ht="14.4" hidden="false" customHeight="false" outlineLevel="0" collapsed="false">
      <c r="A29" s="18" t="s">
        <v>62</v>
      </c>
      <c r="B29" s="16" t="n">
        <v>15</v>
      </c>
      <c r="C29" s="16" t="n">
        <v>19</v>
      </c>
      <c r="D29" s="16" t="n">
        <v>55721</v>
      </c>
      <c r="E29" s="16" t="n">
        <v>8818</v>
      </c>
      <c r="F29" s="17" t="s">
        <v>63</v>
      </c>
      <c r="G29" s="10" t="str">
        <f aca="false">IF(ISNUMBER(SEARCH("Σύνολο Χώρας",A29)),"Country Total",IF(ISNUMBER(SEARCH("ΠΕΡΙΦΕΡΕΙΑΚΗ ΕΝΟΤΗΤΑ",A29)),"Regional Unit",IF(ISNUMBER(SEARCH("ΠΕΡΙΦΕΡΕΙΑ",A29)),"Region","Check text")))</f>
        <v>Regional Unit</v>
      </c>
      <c r="H29" s="11" t="n">
        <v>45658</v>
      </c>
    </row>
    <row r="30" customFormat="false" ht="14.4" hidden="false" customHeight="false" outlineLevel="0" collapsed="false">
      <c r="A30" s="18" t="s">
        <v>64</v>
      </c>
      <c r="B30" s="16" t="n">
        <v>17</v>
      </c>
      <c r="C30" s="16" t="n">
        <v>20</v>
      </c>
      <c r="D30" s="16" t="n">
        <v>49436</v>
      </c>
      <c r="E30" s="16" t="n">
        <v>7019</v>
      </c>
      <c r="F30" s="17" t="s">
        <v>65</v>
      </c>
      <c r="G30" s="10" t="str">
        <f aca="false">IF(ISNUMBER(SEARCH("Σύνολο Χώρας",A30)),"Country Total",IF(ISNUMBER(SEARCH("ΠΕΡΙΦΕΡΕΙΑΚΗ ΕΝΟΤΗΤΑ",A30)),"Regional Unit",IF(ISNUMBER(SEARCH("ΠΕΡΙΦΕΡΕΙΑ",A30)),"Region","Check text")))</f>
        <v>Regional Unit</v>
      </c>
      <c r="H30" s="11" t="n">
        <v>45658</v>
      </c>
    </row>
    <row r="31" customFormat="false" ht="14.4" hidden="false" customHeight="false" outlineLevel="0" collapsed="false">
      <c r="A31" s="18" t="s">
        <v>66</v>
      </c>
      <c r="B31" s="16" t="n">
        <v>18</v>
      </c>
      <c r="C31" s="16" t="n">
        <v>30</v>
      </c>
      <c r="D31" s="16" t="n">
        <v>89021</v>
      </c>
      <c r="E31" s="16" t="n">
        <v>13336</v>
      </c>
      <c r="F31" s="17" t="s">
        <v>67</v>
      </c>
      <c r="G31" s="10" t="str">
        <f aca="false">IF(ISNUMBER(SEARCH("Σύνολο Χώρας",A31)),"Country Total",IF(ISNUMBER(SEARCH("ΠΕΡΙΦΕΡΕΙΑΚΗ ΕΝΟΤΗΤΑ",A31)),"Regional Unit",IF(ISNUMBER(SEARCH("ΠΕΡΙΦΕΡΕΙΑ",A31)),"Region","Check text")))</f>
        <v>Regional Unit</v>
      </c>
      <c r="H31" s="11" t="n">
        <v>45658</v>
      </c>
    </row>
    <row r="32" customFormat="false" ht="14.4" hidden="false" customHeight="false" outlineLevel="0" collapsed="false">
      <c r="A32" s="19" t="s">
        <v>68</v>
      </c>
      <c r="B32" s="13" t="n">
        <v>446</v>
      </c>
      <c r="C32" s="13" t="n">
        <v>822</v>
      </c>
      <c r="D32" s="13" t="n">
        <v>695689</v>
      </c>
      <c r="E32" s="13" t="n">
        <v>182077</v>
      </c>
      <c r="F32" s="14" t="s">
        <v>69</v>
      </c>
      <c r="G32" s="10" t="str">
        <f aca="false">IF(ISNUMBER(SEARCH("Σύνολο Χώρας",A32)),"Country Total",IF(ISNUMBER(SEARCH("ΠΕΡΙΦΕΡΕΙΑΚΗ ΕΝΟΤΗΤΑ",A32)),"Regional Unit",IF(ISNUMBER(SEARCH("ΠΕΡΙΦΕΡΕΙΑ",A32)),"Region","Check text")))</f>
        <v>Region</v>
      </c>
      <c r="H32" s="11" t="n">
        <v>45658</v>
      </c>
    </row>
    <row r="33" customFormat="false" ht="14.4" hidden="false" customHeight="false" outlineLevel="0" collapsed="false">
      <c r="A33" s="18" t="s">
        <v>70</v>
      </c>
      <c r="B33" s="16" t="n">
        <v>168</v>
      </c>
      <c r="C33" s="16" t="n">
        <v>353</v>
      </c>
      <c r="D33" s="16" t="n">
        <v>265067</v>
      </c>
      <c r="E33" s="16" t="n">
        <v>68960</v>
      </c>
      <c r="F33" s="17" t="s">
        <v>71</v>
      </c>
      <c r="G33" s="10" t="str">
        <f aca="false">IF(ISNUMBER(SEARCH("Σύνολο Χώρας",A33)),"Country Total",IF(ISNUMBER(SEARCH("ΠΕΡΙΦΕΡΕΙΑΚΗ ΕΝΟΤΗΤΑ",A33)),"Regional Unit",IF(ISNUMBER(SEARCH("ΠΕΡΙΦΕΡΕΙΑ",A33)),"Region","Check text")))</f>
        <v>Regional Unit</v>
      </c>
      <c r="H33" s="11" t="n">
        <v>45658</v>
      </c>
    </row>
    <row r="34" customFormat="false" ht="14.4" hidden="false" customHeight="false" outlineLevel="0" collapsed="false">
      <c r="A34" s="18" t="s">
        <v>72</v>
      </c>
      <c r="B34" s="16" t="n">
        <v>30</v>
      </c>
      <c r="C34" s="16" t="n">
        <v>49</v>
      </c>
      <c r="D34" s="16" t="n">
        <v>103092</v>
      </c>
      <c r="E34" s="16" t="n">
        <v>23429</v>
      </c>
      <c r="F34" s="17" t="s">
        <v>73</v>
      </c>
      <c r="G34" s="10" t="str">
        <f aca="false">IF(ISNUMBER(SEARCH("Σύνολο Χώρας",A34)),"Country Total",IF(ISNUMBER(SEARCH("ΠΕΡΙΦΕΡΕΙΑΚΗ ΕΝΟΤΗΤΑ",A34)),"Regional Unit",IF(ISNUMBER(SEARCH("ΠΕΡΙΦΕΡΕΙΑ",A34)),"Region","Check text")))</f>
        <v>Regional Unit</v>
      </c>
      <c r="H34" s="11" t="n">
        <v>45658</v>
      </c>
    </row>
    <row r="35" customFormat="false" ht="14.4" hidden="false" customHeight="false" outlineLevel="0" collapsed="false">
      <c r="A35" s="18" t="s">
        <v>74</v>
      </c>
      <c r="B35" s="16" t="n">
        <v>122</v>
      </c>
      <c r="C35" s="16" t="n">
        <v>209</v>
      </c>
      <c r="D35" s="16" t="n">
        <v>108541</v>
      </c>
      <c r="E35" s="16" t="n">
        <v>30971</v>
      </c>
      <c r="F35" s="17" t="s">
        <v>75</v>
      </c>
      <c r="G35" s="10" t="str">
        <f aca="false">IF(ISNUMBER(SEARCH("Σύνολο Χώρας",A35)),"Country Total",IF(ISNUMBER(SEARCH("ΠΕΡΙΦΕΡΕΙΑΚΗ ΕΝΟΤΗΤΑ",A35)),"Regional Unit",IF(ISNUMBER(SEARCH("ΠΕΡΙΦΕΡΕΙΑ",A35)),"Region","Check text")))</f>
        <v>Regional Unit</v>
      </c>
      <c r="H35" s="11" t="n">
        <v>45658</v>
      </c>
    </row>
    <row r="36" customFormat="false" ht="14.4" hidden="false" customHeight="false" outlineLevel="0" collapsed="false">
      <c r="A36" s="18" t="s">
        <v>76</v>
      </c>
      <c r="B36" s="16" t="n">
        <v>126</v>
      </c>
      <c r="C36" s="16" t="n">
        <v>211</v>
      </c>
      <c r="D36" s="16" t="n">
        <v>218989</v>
      </c>
      <c r="E36" s="16" t="n">
        <v>58717</v>
      </c>
      <c r="F36" s="17" t="s">
        <v>77</v>
      </c>
      <c r="G36" s="10" t="str">
        <f aca="false">IF(ISNUMBER(SEARCH("Σύνολο Χώρας",A36)),"Country Total",IF(ISNUMBER(SEARCH("ΠΕΡΙΦΕΡΕΙΑΚΗ ΕΝΟΤΗΤΑ",A36)),"Regional Unit",IF(ISNUMBER(SEARCH("ΠΕΡΙΦΕΡΕΙΑ",A36)),"Region","Check text")))</f>
        <v>Regional Unit</v>
      </c>
      <c r="H36" s="11" t="n">
        <v>45658</v>
      </c>
    </row>
    <row r="37" customFormat="false" ht="14.4" hidden="false" customHeight="false" outlineLevel="0" collapsed="false">
      <c r="A37" s="19" t="s">
        <v>78</v>
      </c>
      <c r="B37" s="13" t="n">
        <v>623</v>
      </c>
      <c r="C37" s="13" t="n">
        <v>1526</v>
      </c>
      <c r="D37" s="13" t="n">
        <v>1365989</v>
      </c>
      <c r="E37" s="13" t="n">
        <v>288270</v>
      </c>
      <c r="F37" s="14" t="s">
        <v>79</v>
      </c>
      <c r="G37" s="10" t="str">
        <f aca="false">IF(ISNUMBER(SEARCH("Σύνολο Χώρας",A37)),"Country Total",IF(ISNUMBER(SEARCH("ΠΕΡΙΦΕΡΕΙΑΚΗ ΕΝΟΤΗΤΑ",A37)),"Regional Unit",IF(ISNUMBER(SEARCH("ΠΕΡΙΦΕΡΕΙΑ",A37)),"Region","Check text")))</f>
        <v>Region</v>
      </c>
      <c r="H37" s="11" t="n">
        <v>45658</v>
      </c>
    </row>
    <row r="38" customFormat="false" ht="14.4" hidden="false" customHeight="false" outlineLevel="0" collapsed="false">
      <c r="A38" s="18" t="s">
        <v>80</v>
      </c>
      <c r="B38" s="16" t="n">
        <v>257</v>
      </c>
      <c r="C38" s="16" t="n">
        <v>699</v>
      </c>
      <c r="D38" s="16" t="n">
        <v>758314</v>
      </c>
      <c r="E38" s="16" t="n">
        <v>144405</v>
      </c>
      <c r="F38" s="17" t="s">
        <v>81</v>
      </c>
      <c r="G38" s="10" t="str">
        <f aca="false">IF(ISNUMBER(SEARCH("Σύνολο Χώρας",A38)),"Country Total",IF(ISNUMBER(SEARCH("ΠΕΡΙΦΕΡΕΙΑΚΗ ΕΝΟΤΗΤΑ",A38)),"Regional Unit",IF(ISNUMBER(SEARCH("ΠΕΡΙΦΕΡΕΙΑ",A38)),"Region","Check text")))</f>
        <v>Regional Unit</v>
      </c>
      <c r="H38" s="11" t="n">
        <v>45658</v>
      </c>
    </row>
    <row r="39" customFormat="false" ht="14.4" hidden="false" customHeight="false" outlineLevel="0" collapsed="false">
      <c r="A39" s="18" t="s">
        <v>82</v>
      </c>
      <c r="B39" s="16" t="n">
        <v>65</v>
      </c>
      <c r="C39" s="16" t="n">
        <v>131</v>
      </c>
      <c r="D39" s="16" t="n">
        <v>144076</v>
      </c>
      <c r="E39" s="16" t="n">
        <v>29486</v>
      </c>
      <c r="F39" s="17" t="s">
        <v>83</v>
      </c>
      <c r="G39" s="10" t="str">
        <f aca="false">IF(ISNUMBER(SEARCH("Σύνολο Χώρας",A39)),"Country Total",IF(ISNUMBER(SEARCH("ΠΕΡΙΦΕΡΕΙΑΚΗ ΕΝΟΤΗΤΑ",A39)),"Regional Unit",IF(ISNUMBER(SEARCH("ΠΕΡΙΦΕΡΕΙΑ",A39)),"Region","Check text")))</f>
        <v>Regional Unit</v>
      </c>
      <c r="H39" s="11" t="n">
        <v>45658</v>
      </c>
    </row>
    <row r="40" customFormat="false" ht="14.4" hidden="false" customHeight="false" outlineLevel="0" collapsed="false">
      <c r="A40" s="18" t="s">
        <v>84</v>
      </c>
      <c r="B40" s="16" t="n">
        <v>156</v>
      </c>
      <c r="C40" s="16" t="n">
        <v>386</v>
      </c>
      <c r="D40" s="16" t="n">
        <v>223695</v>
      </c>
      <c r="E40" s="16" t="n">
        <v>56617</v>
      </c>
      <c r="F40" s="17" t="s">
        <v>85</v>
      </c>
      <c r="G40" s="10" t="str">
        <f aca="false">IF(ISNUMBER(SEARCH("Σύνολο Χώρας",A40)),"Country Total",IF(ISNUMBER(SEARCH("ΠΕΡΙΦΕΡΕΙΑΚΗ ΕΝΟΤΗΤΑ",A40)),"Regional Unit",IF(ISNUMBER(SEARCH("ΠΕΡΙΦΕΡΕΙΑ",A40)),"Region","Check text")))</f>
        <v>Regional Unit</v>
      </c>
      <c r="H40" s="11" t="n">
        <v>45658</v>
      </c>
    </row>
    <row r="41" customFormat="false" ht="14.4" hidden="false" customHeight="false" outlineLevel="0" collapsed="false">
      <c r="A41" s="18" t="s">
        <v>86</v>
      </c>
      <c r="B41" s="16" t="n">
        <v>42</v>
      </c>
      <c r="C41" s="16" t="n">
        <v>83</v>
      </c>
      <c r="D41" s="16" t="n">
        <v>54411</v>
      </c>
      <c r="E41" s="16" t="n">
        <v>14845</v>
      </c>
      <c r="F41" s="17" t="s">
        <v>87</v>
      </c>
      <c r="G41" s="10" t="str">
        <f aca="false">IF(ISNUMBER(SEARCH("Σύνολο Χώρας",A41)),"Country Total",IF(ISNUMBER(SEARCH("ΠΕΡΙΦΕΡΕΙΑΚΗ ΕΝΟΤΗΤΑ",A41)),"Regional Unit",IF(ISNUMBER(SEARCH("ΠΕΡΙΦΕΡΕΙΑ",A41)),"Region","Check text")))</f>
        <v>Regional Unit</v>
      </c>
      <c r="H41" s="11" t="n">
        <v>45658</v>
      </c>
    </row>
    <row r="42" customFormat="false" ht="14.4" hidden="false" customHeight="false" outlineLevel="0" collapsed="false">
      <c r="A42" s="18" t="s">
        <v>88</v>
      </c>
      <c r="B42" s="16" t="n">
        <v>103</v>
      </c>
      <c r="C42" s="16" t="n">
        <v>227</v>
      </c>
      <c r="D42" s="16" t="n">
        <v>185493</v>
      </c>
      <c r="E42" s="16" t="n">
        <v>42917</v>
      </c>
      <c r="F42" s="17" t="s">
        <v>89</v>
      </c>
      <c r="G42" s="10" t="str">
        <f aca="false">IF(ISNUMBER(SEARCH("Σύνολο Χώρας",A42)),"Country Total",IF(ISNUMBER(SEARCH("ΠΕΡΙΦΕΡΕΙΑΚΗ ΕΝΟΤΗΤΑ",A42)),"Regional Unit",IF(ISNUMBER(SEARCH("ΠΕΡΙΦΕΡΕΙΑ",A42)),"Region","Check text")))</f>
        <v>Regional Unit</v>
      </c>
      <c r="H42" s="11" t="n">
        <v>45658</v>
      </c>
    </row>
    <row r="43" customFormat="false" ht="14.4" hidden="false" customHeight="false" outlineLevel="0" collapsed="false">
      <c r="A43" s="19" t="s">
        <v>90</v>
      </c>
      <c r="B43" s="13" t="n">
        <v>527</v>
      </c>
      <c r="C43" s="13" t="n">
        <v>835</v>
      </c>
      <c r="D43" s="13" t="n">
        <v>1173843</v>
      </c>
      <c r="E43" s="13" t="n">
        <v>195739</v>
      </c>
      <c r="F43" s="14" t="s">
        <v>91</v>
      </c>
      <c r="G43" s="10" t="str">
        <f aca="false">IF(ISNUMBER(SEARCH("Σύνολο Χώρας",A43)),"Country Total",IF(ISNUMBER(SEARCH("ΠΕΡΙΦΕΡΕΙΑΚΗ ΕΝΟΤΗΤΑ",A43)),"Regional Unit",IF(ISNUMBER(SEARCH("ΠΕΡΙΦΕΡΕΙΑ",A43)),"Region","Check text")))</f>
        <v>Region</v>
      </c>
      <c r="H43" s="11" t="n">
        <v>45658</v>
      </c>
    </row>
    <row r="44" customFormat="false" ht="14.4" hidden="false" customHeight="false" outlineLevel="0" collapsed="false">
      <c r="A44" s="18" t="s">
        <v>92</v>
      </c>
      <c r="B44" s="16" t="n">
        <v>90</v>
      </c>
      <c r="C44" s="16" t="n">
        <v>113</v>
      </c>
      <c r="D44" s="16" t="n">
        <v>107594</v>
      </c>
      <c r="E44" s="16" t="n">
        <v>20907</v>
      </c>
      <c r="F44" s="17" t="s">
        <v>93</v>
      </c>
      <c r="G44" s="10" t="str">
        <f aca="false">IF(ISNUMBER(SEARCH("Σύνολο Χώρας",A44)),"Country Total",IF(ISNUMBER(SEARCH("ΠΕΡΙΦΕΡΕΙΑΚΗ ΕΝΟΤΗΤΑ",A44)),"Regional Unit",IF(ISNUMBER(SEARCH("ΠΕΡΙΦΕΡΕΙΑ",A44)),"Region","Check text")))</f>
        <v>Regional Unit</v>
      </c>
      <c r="H44" s="11" t="n">
        <v>45658</v>
      </c>
    </row>
    <row r="45" customFormat="false" ht="14.4" hidden="false" customHeight="false" outlineLevel="0" collapsed="false">
      <c r="A45" s="18" t="s">
        <v>94</v>
      </c>
      <c r="B45" s="16" t="n">
        <v>60</v>
      </c>
      <c r="C45" s="16" t="n">
        <v>98</v>
      </c>
      <c r="D45" s="16" t="n">
        <v>746619</v>
      </c>
      <c r="E45" s="16" t="n">
        <v>92306</v>
      </c>
      <c r="F45" s="17" t="s">
        <v>95</v>
      </c>
      <c r="G45" s="10" t="str">
        <f aca="false">IF(ISNUMBER(SEARCH("Σύνολο Χώρας",A45)),"Country Total",IF(ISNUMBER(SEARCH("ΠΕΡΙΦΕΡΕΙΑΚΗ ΕΝΟΤΗΤΑ",A45)),"Regional Unit",IF(ISNUMBER(SEARCH("ΠΕΡΙΦΕΡΕΙΑ",A45)),"Region","Check text")))</f>
        <v>Regional Unit</v>
      </c>
      <c r="H45" s="11" t="n">
        <v>45658</v>
      </c>
    </row>
    <row r="46" customFormat="false" ht="14.4" hidden="false" customHeight="false" outlineLevel="0" collapsed="false">
      <c r="A46" s="18" t="s">
        <v>96</v>
      </c>
      <c r="B46" s="16" t="n">
        <v>333</v>
      </c>
      <c r="C46" s="16" t="n">
        <v>558</v>
      </c>
      <c r="D46" s="16" t="n">
        <v>270257</v>
      </c>
      <c r="E46" s="16" t="n">
        <v>72667</v>
      </c>
      <c r="F46" s="17" t="s">
        <v>97</v>
      </c>
      <c r="G46" s="10" t="str">
        <f aca="false">IF(ISNUMBER(SEARCH("Σύνολο Χώρας",A46)),"Country Total",IF(ISNUMBER(SEARCH("ΠΕΡΙΦΕΡΕΙΑΚΗ ΕΝΟΤΗΤΑ",A46)),"Regional Unit",IF(ISNUMBER(SEARCH("ΠΕΡΙΦΕΡΕΙΑ",A46)),"Region","Check text")))</f>
        <v>Regional Unit</v>
      </c>
      <c r="H46" s="11" t="n">
        <v>45658</v>
      </c>
    </row>
    <row r="47" customFormat="false" ht="14.4" hidden="false" customHeight="false" outlineLevel="0" collapsed="false">
      <c r="A47" s="18" t="s">
        <v>98</v>
      </c>
      <c r="B47" s="16" t="n">
        <v>11</v>
      </c>
      <c r="C47" s="16" t="n">
        <v>21</v>
      </c>
      <c r="D47" s="16" t="n">
        <v>6718</v>
      </c>
      <c r="E47" s="16" t="n">
        <v>2113</v>
      </c>
      <c r="F47" s="17" t="s">
        <v>99</v>
      </c>
      <c r="G47" s="10" t="str">
        <f aca="false">IF(ISNUMBER(SEARCH("Σύνολο Χώρας",A47)),"Country Total",IF(ISNUMBER(SEARCH("ΠΕΡΙΦΕΡΕΙΑΚΗ ΕΝΟΤΗΤΑ",A47)),"Regional Unit",IF(ISNUMBER(SEARCH("ΠΕΡΙΦΕΡΕΙΑ",A47)),"Region","Check text")))</f>
        <v>Regional Unit</v>
      </c>
      <c r="H47" s="11" t="n">
        <v>45658</v>
      </c>
    </row>
    <row r="48" customFormat="false" ht="14.4" hidden="false" customHeight="false" outlineLevel="0" collapsed="false">
      <c r="A48" s="18" t="s">
        <v>100</v>
      </c>
      <c r="B48" s="16" t="n">
        <v>33</v>
      </c>
      <c r="C48" s="16" t="n">
        <v>45</v>
      </c>
      <c r="D48" s="16" t="n">
        <v>42655</v>
      </c>
      <c r="E48" s="16" t="n">
        <v>7746</v>
      </c>
      <c r="F48" s="17" t="s">
        <v>101</v>
      </c>
      <c r="G48" s="10" t="str">
        <f aca="false">IF(ISNUMBER(SEARCH("Σύνολο Χώρας",A48)),"Country Total",IF(ISNUMBER(SEARCH("ΠΕΡΙΦΕΡΕΙΑΚΗ ΕΝΟΤΗΤΑ",A48)),"Regional Unit",IF(ISNUMBER(SEARCH("ΠΕΡΙΦΕΡΕΙΑ",A48)),"Region","Check text")))</f>
        <v>Regional Unit</v>
      </c>
      <c r="H48" s="11" t="n">
        <v>45658</v>
      </c>
    </row>
    <row r="49" customFormat="false" ht="14.4" hidden="false" customHeight="false" outlineLevel="0" collapsed="false">
      <c r="A49" s="19" t="s">
        <v>102</v>
      </c>
      <c r="B49" s="13" t="n">
        <v>1153</v>
      </c>
      <c r="C49" s="13" t="n">
        <v>1868</v>
      </c>
      <c r="D49" s="13" t="n">
        <v>1067297</v>
      </c>
      <c r="E49" s="13" t="n">
        <v>309691</v>
      </c>
      <c r="F49" s="14" t="s">
        <v>103</v>
      </c>
      <c r="G49" s="10" t="str">
        <f aca="false">IF(ISNUMBER(SEARCH("Σύνολο Χώρας",A49)),"Country Total",IF(ISNUMBER(SEARCH("ΠΕΡΙΦΕΡΕΙΑΚΗ ΕΝΟΤΗΤΑ",A49)),"Regional Unit",IF(ISNUMBER(SEARCH("ΠΕΡΙΦΕΡΕΙΑ",A49)),"Region","Check text")))</f>
        <v>Region</v>
      </c>
      <c r="H49" s="11" t="n">
        <v>45658</v>
      </c>
    </row>
    <row r="50" customFormat="false" ht="14.4" hidden="false" customHeight="false" outlineLevel="0" collapsed="false">
      <c r="A50" s="18" t="s">
        <v>104</v>
      </c>
      <c r="B50" s="16" t="n">
        <v>261</v>
      </c>
      <c r="C50" s="16" t="n">
        <v>445</v>
      </c>
      <c r="D50" s="16" t="n">
        <v>256091</v>
      </c>
      <c r="E50" s="16" t="n">
        <v>66476</v>
      </c>
      <c r="F50" s="17" t="s">
        <v>105</v>
      </c>
      <c r="G50" s="10" t="str">
        <f aca="false">IF(ISNUMBER(SEARCH("Σύνολο Χώρας",A50)),"Country Total",IF(ISNUMBER(SEARCH("ΠΕΡΙΦΕΡΕΙΑΚΗ ΕΝΟΤΗΤΑ",A50)),"Regional Unit",IF(ISNUMBER(SEARCH("ΠΕΡΙΦΕΡΕΙΑ",A50)),"Region","Check text")))</f>
        <v>Regional Unit</v>
      </c>
      <c r="H50" s="11" t="n">
        <v>45658</v>
      </c>
    </row>
    <row r="51" customFormat="false" ht="14.4" hidden="false" customHeight="false" outlineLevel="0" collapsed="false">
      <c r="A51" s="18" t="s">
        <v>106</v>
      </c>
      <c r="B51" s="16" t="n">
        <v>305</v>
      </c>
      <c r="C51" s="16" t="n">
        <v>462</v>
      </c>
      <c r="D51" s="16" t="n">
        <v>307176</v>
      </c>
      <c r="E51" s="16" t="n">
        <v>90662</v>
      </c>
      <c r="F51" s="17" t="s">
        <v>107</v>
      </c>
      <c r="G51" s="10" t="str">
        <f aca="false">IF(ISNUMBER(SEARCH("Σύνολο Χώρας",A51)),"Country Total",IF(ISNUMBER(SEARCH("ΠΕΡΙΦΕΡΕΙΑΚΗ ΕΝΟΤΗΤΑ",A51)),"Regional Unit",IF(ISNUMBER(SEARCH("ΠΕΡΙΦΕΡΕΙΑ",A51)),"Region","Check text")))</f>
        <v>Regional Unit</v>
      </c>
      <c r="H51" s="11" t="n">
        <v>45658</v>
      </c>
    </row>
    <row r="52" customFormat="false" ht="14.4" hidden="false" customHeight="false" outlineLevel="0" collapsed="false">
      <c r="A52" s="18" t="s">
        <v>108</v>
      </c>
      <c r="B52" s="16" t="n">
        <v>11</v>
      </c>
      <c r="C52" s="16" t="n">
        <v>21</v>
      </c>
      <c r="D52" s="16" t="n">
        <v>7326</v>
      </c>
      <c r="E52" s="16" t="n">
        <v>2264</v>
      </c>
      <c r="F52" s="17" t="s">
        <v>109</v>
      </c>
      <c r="G52" s="10" t="str">
        <f aca="false">IF(ISNUMBER(SEARCH("Σύνολο Χώρας",A52)),"Country Total",IF(ISNUMBER(SEARCH("ΠΕΡΙΦΕΡΕΙΑΚΗ ΕΝΟΤΗΤΑ",A52)),"Regional Unit",IF(ISNUMBER(SEARCH("ΠΕΡΙΦΕΡΕΙΑ",A52)),"Region","Check text")))</f>
        <v>Regional Unit</v>
      </c>
      <c r="H52" s="11" t="n">
        <v>45658</v>
      </c>
    </row>
    <row r="53" customFormat="false" ht="14.4" hidden="false" customHeight="false" outlineLevel="0" collapsed="false">
      <c r="A53" s="18" t="s">
        <v>110</v>
      </c>
      <c r="B53" s="16" t="n">
        <v>223</v>
      </c>
      <c r="C53" s="16" t="n">
        <v>329</v>
      </c>
      <c r="D53" s="16" t="n">
        <v>172695</v>
      </c>
      <c r="E53" s="16" t="n">
        <v>50197</v>
      </c>
      <c r="F53" s="17" t="s">
        <v>111</v>
      </c>
      <c r="G53" s="10" t="str">
        <f aca="false">IF(ISNUMBER(SEARCH("Σύνολο Χώρας",A53)),"Country Total",IF(ISNUMBER(SEARCH("ΠΕΡΙΦΕΡΕΙΑΚΗ ΕΝΟΤΗΤΑ",A53)),"Regional Unit",IF(ISNUMBER(SEARCH("ΠΕΡΙΦΕΡΕΙΑ",A53)),"Region","Check text")))</f>
        <v>Regional Unit</v>
      </c>
      <c r="H53" s="11" t="n">
        <v>45658</v>
      </c>
    </row>
    <row r="54" customFormat="false" ht="14.4" hidden="false" customHeight="false" outlineLevel="0" collapsed="false">
      <c r="A54" s="18" t="s">
        <v>112</v>
      </c>
      <c r="B54" s="16" t="n">
        <v>353</v>
      </c>
      <c r="C54" s="16" t="n">
        <v>611</v>
      </c>
      <c r="D54" s="16" t="n">
        <v>324009</v>
      </c>
      <c r="E54" s="16" t="n">
        <v>100092</v>
      </c>
      <c r="F54" s="17" t="s">
        <v>113</v>
      </c>
      <c r="G54" s="10" t="str">
        <f aca="false">IF(ISNUMBER(SEARCH("Σύνολο Χώρας",A54)),"Country Total",IF(ISNUMBER(SEARCH("ΠΕΡΙΦΕΡΕΙΑΚΗ ΕΝΟΤΗΤΑ",A54)),"Regional Unit",IF(ISNUMBER(SEARCH("ΠΕΡΙΦΕΡΕΙΑ",A54)),"Region","Check text")))</f>
        <v>Regional Unit</v>
      </c>
      <c r="H54" s="11" t="n">
        <v>45658</v>
      </c>
    </row>
    <row r="55" customFormat="false" ht="14.4" hidden="false" customHeight="false" outlineLevel="0" collapsed="false">
      <c r="A55" s="19" t="s">
        <v>114</v>
      </c>
      <c r="B55" s="13" t="n">
        <v>623</v>
      </c>
      <c r="C55" s="13" t="n">
        <v>1132</v>
      </c>
      <c r="D55" s="13" t="n">
        <v>900498</v>
      </c>
      <c r="E55" s="13" t="n">
        <v>213147</v>
      </c>
      <c r="F55" s="14" t="s">
        <v>115</v>
      </c>
      <c r="G55" s="10" t="str">
        <f aca="false">IF(ISNUMBER(SEARCH("Σύνολο Χώρας",A55)),"Country Total",IF(ISNUMBER(SEARCH("ΠΕΡΙΦΕΡΕΙΑΚΗ ΕΝΟΤΗΤΑ",A55)),"Regional Unit",IF(ISNUMBER(SEARCH("ΠΕΡΙΦΕΡΕΙΑ",A55)),"Region","Check text")))</f>
        <v>Region</v>
      </c>
      <c r="H55" s="11" t="n">
        <v>45658</v>
      </c>
    </row>
    <row r="56" customFormat="false" ht="14.4" hidden="false" customHeight="false" outlineLevel="0" collapsed="false">
      <c r="A56" s="18" t="s">
        <v>116</v>
      </c>
      <c r="B56" s="16" t="n">
        <v>310</v>
      </c>
      <c r="C56" s="16" t="n">
        <v>635</v>
      </c>
      <c r="D56" s="16" t="n">
        <v>535032</v>
      </c>
      <c r="E56" s="16" t="n">
        <v>126448</v>
      </c>
      <c r="F56" s="17" t="s">
        <v>117</v>
      </c>
      <c r="G56" s="10" t="str">
        <f aca="false">IF(ISNUMBER(SEARCH("Σύνολο Χώρας",A56)),"Country Total",IF(ISNUMBER(SEARCH("ΠΕΡΙΦΕΡΕΙΑΚΗ ΕΝΟΤΗΤΑ",A56)),"Regional Unit",IF(ISNUMBER(SEARCH("ΠΕΡΙΦΕΡΕΙΑ",A56)),"Region","Check text")))</f>
        <v>Regional Unit</v>
      </c>
      <c r="H56" s="11" t="n">
        <v>45658</v>
      </c>
    </row>
    <row r="57" customFormat="false" ht="14.4" hidden="false" customHeight="false" outlineLevel="0" collapsed="false">
      <c r="A57" s="18" t="s">
        <v>118</v>
      </c>
      <c r="B57" s="16" t="n">
        <v>218</v>
      </c>
      <c r="C57" s="16" t="n">
        <v>360</v>
      </c>
      <c r="D57" s="16" t="n">
        <v>264136</v>
      </c>
      <c r="E57" s="16" t="n">
        <v>62687</v>
      </c>
      <c r="F57" s="17" t="s">
        <v>119</v>
      </c>
      <c r="G57" s="10" t="str">
        <f aca="false">IF(ISNUMBER(SEARCH("Σύνολο Χώρας",A57)),"Country Total",IF(ISNUMBER(SEARCH("ΠΕΡΙΦΕΡΕΙΑΚΗ ΕΝΟΤΗΤΑ",A57)),"Regional Unit",IF(ISNUMBER(SEARCH("ΠΕΡΙΦΕΡΕΙΑ",A57)),"Region","Check text")))</f>
        <v>Regional Unit</v>
      </c>
      <c r="H57" s="11" t="n">
        <v>45658</v>
      </c>
    </row>
    <row r="58" customFormat="false" ht="14.4" hidden="false" customHeight="false" outlineLevel="0" collapsed="false">
      <c r="A58" s="18" t="s">
        <v>120</v>
      </c>
      <c r="B58" s="16" t="n">
        <v>95</v>
      </c>
      <c r="C58" s="16" t="n">
        <v>137</v>
      </c>
      <c r="D58" s="16" t="n">
        <v>101330</v>
      </c>
      <c r="E58" s="16" t="n">
        <v>24012</v>
      </c>
      <c r="F58" s="17" t="s">
        <v>121</v>
      </c>
      <c r="G58" s="10" t="str">
        <f aca="false">IF(ISNUMBER(SEARCH("Σύνολο Χώρας",A58)),"Country Total",IF(ISNUMBER(SEARCH("ΠΕΡΙΦΕΡΕΙΑΚΗ ΕΝΟΤΗΤΑ",A58)),"Regional Unit",IF(ISNUMBER(SEARCH("ΠΕΡΙΦΕΡΕΙΑ",A58)),"Region","Check text")))</f>
        <v>Regional Unit</v>
      </c>
      <c r="H58" s="11" t="n">
        <v>45658</v>
      </c>
    </row>
    <row r="59" customFormat="false" ht="14.4" hidden="false" customHeight="false" outlineLevel="0" collapsed="false">
      <c r="A59" s="19" t="s">
        <v>122</v>
      </c>
      <c r="B59" s="13" t="n">
        <v>830</v>
      </c>
      <c r="C59" s="13" t="n">
        <v>1482</v>
      </c>
      <c r="D59" s="13" t="n">
        <v>1281381</v>
      </c>
      <c r="E59" s="13" t="n">
        <v>284551</v>
      </c>
      <c r="F59" s="14" t="s">
        <v>123</v>
      </c>
      <c r="G59" s="10" t="str">
        <f aca="false">IF(ISNUMBER(SEARCH("Σύνολο Χώρας",A59)),"Country Total",IF(ISNUMBER(SEARCH("ΠΕΡΙΦΕΡΕΙΑΚΗ ΕΝΟΤΗΤΑ",A59)),"Regional Unit",IF(ISNUMBER(SEARCH("ΠΕΡΙΦΕΡΕΙΑ",A59)),"Region","Check text")))</f>
        <v>Region</v>
      </c>
      <c r="H59" s="11" t="n">
        <v>45658</v>
      </c>
    </row>
    <row r="60" customFormat="false" ht="14.4" hidden="false" customHeight="false" outlineLevel="0" collapsed="false">
      <c r="A60" s="18" t="s">
        <v>124</v>
      </c>
      <c r="B60" s="16" t="n">
        <v>83</v>
      </c>
      <c r="C60" s="16" t="n">
        <v>138</v>
      </c>
      <c r="D60" s="16" t="n">
        <v>218948</v>
      </c>
      <c r="E60" s="16" t="n">
        <v>35999</v>
      </c>
      <c r="F60" s="17" t="s">
        <v>125</v>
      </c>
      <c r="G60" s="10" t="str">
        <f aca="false">IF(ISNUMBER(SEARCH("Σύνολο Χώρας",A60)),"Country Total",IF(ISNUMBER(SEARCH("ΠΕΡΙΦΕΡΕΙΑΚΗ ΕΝΟΤΗΤΑ",A60)),"Regional Unit",IF(ISNUMBER(SEARCH("ΠΕΡΙΦΕΡΕΙΑ",A60)),"Region","Check text")))</f>
        <v>Regional Unit</v>
      </c>
      <c r="H60" s="11" t="n">
        <v>45658</v>
      </c>
    </row>
    <row r="61" customFormat="false" ht="14.4" hidden="false" customHeight="false" outlineLevel="0" collapsed="false">
      <c r="A61" s="18" t="s">
        <v>126</v>
      </c>
      <c r="B61" s="16" t="n">
        <v>192</v>
      </c>
      <c r="C61" s="16" t="n">
        <v>331</v>
      </c>
      <c r="D61" s="16" t="n">
        <v>346435</v>
      </c>
      <c r="E61" s="16" t="n">
        <v>78926</v>
      </c>
      <c r="F61" s="17" t="s">
        <v>127</v>
      </c>
      <c r="G61" s="10" t="str">
        <f aca="false">IF(ISNUMBER(SEARCH("Σύνολο Χώρας",A61)),"Country Total",IF(ISNUMBER(SEARCH("ΠΕΡΙΦΕΡΕΙΑΚΗ ΕΝΟΤΗΤΑ",A61)),"Regional Unit",IF(ISNUMBER(SEARCH("ΠΕΡΙΦΕΡΕΙΑ",A61)),"Region","Check text")))</f>
        <v>Regional Unit</v>
      </c>
      <c r="H61" s="11" t="n">
        <v>45658</v>
      </c>
    </row>
    <row r="62" customFormat="false" ht="14.4" hidden="false" customHeight="false" outlineLevel="0" collapsed="false">
      <c r="A62" s="18" t="s">
        <v>128</v>
      </c>
      <c r="B62" s="16" t="n">
        <v>152</v>
      </c>
      <c r="C62" s="16" t="n">
        <v>271</v>
      </c>
      <c r="D62" s="16" t="n">
        <v>218086</v>
      </c>
      <c r="E62" s="16" t="n">
        <v>51071</v>
      </c>
      <c r="F62" s="17" t="s">
        <v>129</v>
      </c>
      <c r="G62" s="10" t="str">
        <f aca="false">IF(ISNUMBER(SEARCH("Σύνολο Χώρας",A62)),"Country Total",IF(ISNUMBER(SEARCH("ΠΕΡΙΦΕΡΕΙΑΚΗ ΕΝΟΤΗΤΑ",A62)),"Regional Unit",IF(ISNUMBER(SEARCH("ΠΕΡΙΦΕΡΕΙΑ",A62)),"Region","Check text")))</f>
        <v>Regional Unit</v>
      </c>
      <c r="H62" s="11" t="n">
        <v>45658</v>
      </c>
    </row>
    <row r="63" customFormat="false" ht="14.4" hidden="false" customHeight="false" outlineLevel="0" collapsed="false">
      <c r="A63" s="18" t="s">
        <v>130</v>
      </c>
      <c r="B63" s="16" t="n">
        <v>72</v>
      </c>
      <c r="C63" s="16" t="n">
        <v>118</v>
      </c>
      <c r="D63" s="16" t="n">
        <v>62555</v>
      </c>
      <c r="E63" s="16" t="n">
        <v>17325</v>
      </c>
      <c r="F63" s="17" t="s">
        <v>131</v>
      </c>
      <c r="G63" s="10" t="str">
        <f aca="false">IF(ISNUMBER(SEARCH("Σύνολο Χώρας",A63)),"Country Total",IF(ISNUMBER(SEARCH("ΠΕΡΙΦΕΡΕΙΑΚΗ ΕΝΟΤΗΤΑ",A63)),"Regional Unit",IF(ISNUMBER(SEARCH("ΠΕΡΙΦΕΡΕΙΑ",A63)),"Region","Check text")))</f>
        <v>Regional Unit</v>
      </c>
      <c r="H63" s="11" t="n">
        <v>45658</v>
      </c>
    </row>
    <row r="64" customFormat="false" ht="14.4" hidden="false" customHeight="false" outlineLevel="0" collapsed="false">
      <c r="A64" s="18" t="s">
        <v>132</v>
      </c>
      <c r="B64" s="16" t="n">
        <v>331</v>
      </c>
      <c r="C64" s="16" t="n">
        <v>624</v>
      </c>
      <c r="D64" s="16" t="n">
        <v>435357</v>
      </c>
      <c r="E64" s="16" t="n">
        <v>101230</v>
      </c>
      <c r="F64" s="17" t="s">
        <v>133</v>
      </c>
      <c r="G64" s="10" t="str">
        <f aca="false">IF(ISNUMBER(SEARCH("Σύνολο Χώρας",A64)),"Country Total",IF(ISNUMBER(SEARCH("ΠΕΡΙΦΕΡΕΙΑΚΗ ΕΝΟΤΗΤΑ",A64)),"Regional Unit",IF(ISNUMBER(SEARCH("ΠΕΡΙΦΕΡΕΙΑ",A64)),"Region","Check text")))</f>
        <v>Regional Unit</v>
      </c>
      <c r="H64" s="11" t="n">
        <v>45658</v>
      </c>
    </row>
    <row r="65" customFormat="false" ht="14.4" hidden="false" customHeight="false" outlineLevel="0" collapsed="false">
      <c r="A65" s="19" t="s">
        <v>134</v>
      </c>
      <c r="B65" s="13" t="n">
        <v>283</v>
      </c>
      <c r="C65" s="13" t="n">
        <v>462</v>
      </c>
      <c r="D65" s="13" t="n">
        <v>235244</v>
      </c>
      <c r="E65" s="13" t="n">
        <v>65194</v>
      </c>
      <c r="F65" s="14" t="s">
        <v>135</v>
      </c>
      <c r="G65" s="10" t="str">
        <f aca="false">IF(ISNUMBER(SEARCH("Σύνολο Χώρας",A65)),"Country Total",IF(ISNUMBER(SEARCH("ΠΕΡΙΦΕΡΕΙΑΚΗ ΕΝΟΤΗΤΑ",A65)),"Regional Unit",IF(ISNUMBER(SEARCH("ΠΕΡΙΦΕΡΕΙΑ",A65)),"Region","Check text")))</f>
        <v>Region</v>
      </c>
      <c r="H65" s="11" t="n">
        <v>45658</v>
      </c>
    </row>
    <row r="66" customFormat="false" ht="14.4" hidden="false" customHeight="false" outlineLevel="0" collapsed="false">
      <c r="A66" s="18" t="s">
        <v>136</v>
      </c>
      <c r="B66" s="16" t="n">
        <v>98</v>
      </c>
      <c r="C66" s="16" t="n">
        <v>154</v>
      </c>
      <c r="D66" s="16" t="n">
        <v>71323</v>
      </c>
      <c r="E66" s="16" t="n">
        <v>17883</v>
      </c>
      <c r="F66" s="17" t="s">
        <v>137</v>
      </c>
      <c r="G66" s="10" t="str">
        <f aca="false">IF(ISNUMBER(SEARCH("Σύνολο Χώρας",A66)),"Country Total",IF(ISNUMBER(SEARCH("ΠΕΡΙΦΕΡΕΙΑΚΗ ΕΝΟΤΗΤΑ",A66)),"Regional Unit",IF(ISNUMBER(SEARCH("ΠΕΡΙΦΕΡΕΙΑ",A66)),"Region","Check text")))</f>
        <v>Regional Unit</v>
      </c>
      <c r="H66" s="11" t="n">
        <v>45658</v>
      </c>
    </row>
    <row r="67" customFormat="false" ht="14.4" hidden="false" customHeight="false" outlineLevel="0" collapsed="false">
      <c r="A67" s="18" t="s">
        <v>138</v>
      </c>
      <c r="B67" s="16" t="n">
        <v>15</v>
      </c>
      <c r="C67" s="16" t="n">
        <v>26</v>
      </c>
      <c r="D67" s="16" t="n">
        <v>15132</v>
      </c>
      <c r="E67" s="16" t="n">
        <v>4393</v>
      </c>
      <c r="F67" s="17" t="s">
        <v>139</v>
      </c>
      <c r="G67" s="10" t="str">
        <f aca="false">IF(ISNUMBER(SEARCH("Σύνολο Χώρας",A67)),"Country Total",IF(ISNUMBER(SEARCH("ΠΕΡΙΦΕΡΕΙΑΚΗ ΕΝΟΤΗΤΑ",A67)),"Regional Unit",IF(ISNUMBER(SEARCH("ΠΕΡΙΦΕΡΕΙΑ",A67)),"Region","Check text")))</f>
        <v>Regional Unit</v>
      </c>
      <c r="H67" s="11" t="n">
        <v>45658</v>
      </c>
    </row>
    <row r="68" customFormat="false" ht="14.4" hidden="false" customHeight="false" outlineLevel="0" collapsed="false">
      <c r="A68" s="18" t="s">
        <v>140</v>
      </c>
      <c r="B68" s="16" t="n">
        <v>42</v>
      </c>
      <c r="C68" s="16" t="n">
        <v>70</v>
      </c>
      <c r="D68" s="16" t="n">
        <v>49716</v>
      </c>
      <c r="E68" s="16" t="n">
        <v>14197</v>
      </c>
      <c r="F68" s="17" t="s">
        <v>141</v>
      </c>
      <c r="G68" s="10" t="str">
        <f aca="false">IF(ISNUMBER(SEARCH("Σύνολο Χώρας",A68)),"Country Total",IF(ISNUMBER(SEARCH("ΠΕΡΙΦΕΡΕΙΑΚΗ ΕΝΟΤΗΤΑ",A68)),"Regional Unit",IF(ISNUMBER(SEARCH("ΠΕΡΙΦΕΡΕΙΑ",A68)),"Region","Check text")))</f>
        <v>Regional Unit</v>
      </c>
      <c r="H68" s="11" t="n">
        <v>45658</v>
      </c>
    </row>
    <row r="69" customFormat="false" ht="14.4" hidden="false" customHeight="false" outlineLevel="0" collapsed="false">
      <c r="A69" s="18" t="s">
        <v>142</v>
      </c>
      <c r="B69" s="16" t="n">
        <v>53</v>
      </c>
      <c r="C69" s="16" t="n">
        <v>90</v>
      </c>
      <c r="D69" s="16" t="n">
        <v>41060</v>
      </c>
      <c r="E69" s="16" t="n">
        <v>11875</v>
      </c>
      <c r="F69" s="17" t="s">
        <v>143</v>
      </c>
      <c r="G69" s="10" t="str">
        <f aca="false">IF(ISNUMBER(SEARCH("Σύνολο Χώρας",A69)),"Country Total",IF(ISNUMBER(SEARCH("ΠΕΡΙΦΕΡΕΙΑΚΗ ΕΝΟΤΗΤΑ",A69)),"Regional Unit",IF(ISNUMBER(SEARCH("ΠΕΡΙΦΕΡΕΙΑ",A69)),"Region","Check text")))</f>
        <v>Regional Unit</v>
      </c>
      <c r="H69" s="11" t="n">
        <v>45658</v>
      </c>
    </row>
    <row r="70" customFormat="false" ht="14.4" hidden="false" customHeight="false" outlineLevel="0" collapsed="false">
      <c r="A70" s="18" t="s">
        <v>144</v>
      </c>
      <c r="B70" s="16" t="n">
        <v>75</v>
      </c>
      <c r="C70" s="16" t="n">
        <v>122</v>
      </c>
      <c r="D70" s="16" t="n">
        <v>58013</v>
      </c>
      <c r="E70" s="16" t="n">
        <v>16846</v>
      </c>
      <c r="F70" s="17" t="s">
        <v>145</v>
      </c>
      <c r="G70" s="10" t="str">
        <f aca="false">IF(ISNUMBER(SEARCH("Σύνολο Χώρας",A70)),"Country Total",IF(ISNUMBER(SEARCH("ΠΕΡΙΦΕΡΕΙΑΚΗ ΕΝΟΤΗΤΑ",A70)),"Regional Unit",IF(ISNUMBER(SEARCH("ΠΕΡΙΦΕΡΕΙΑ",A70)),"Region","Check text")))</f>
        <v>Regional Unit</v>
      </c>
      <c r="H70" s="11" t="n">
        <v>45658</v>
      </c>
    </row>
    <row r="71" customFormat="false" ht="14.4" hidden="false" customHeight="false" outlineLevel="0" collapsed="false">
      <c r="A71" s="19" t="s">
        <v>146</v>
      </c>
      <c r="B71" s="13" t="n">
        <v>1335</v>
      </c>
      <c r="C71" s="13" t="n">
        <v>2034</v>
      </c>
      <c r="D71" s="13" t="n">
        <v>1403273</v>
      </c>
      <c r="E71" s="13" t="n">
        <v>388543</v>
      </c>
      <c r="F71" s="14" t="s">
        <v>147</v>
      </c>
      <c r="G71" s="10" t="str">
        <f aca="false">IF(ISNUMBER(SEARCH("Σύνολο Χώρας",A71)),"Country Total",IF(ISNUMBER(SEARCH("ΠΕΡΙΦΕΡΕΙΑΚΗ ΕΝΟΤΗΤΑ",A71)),"Regional Unit",IF(ISNUMBER(SEARCH("ΠΕΡΙΦΕΡΕΙΑ",A71)),"Region","Check text")))</f>
        <v>Region</v>
      </c>
      <c r="H71" s="11" t="n">
        <v>45658</v>
      </c>
    </row>
    <row r="72" customFormat="false" ht="14.4" hidden="false" customHeight="false" outlineLevel="0" collapsed="false">
      <c r="A72" s="18" t="s">
        <v>148</v>
      </c>
      <c r="B72" s="16" t="n">
        <v>67</v>
      </c>
      <c r="C72" s="16" t="n">
        <v>102</v>
      </c>
      <c r="D72" s="16" t="n">
        <v>46087</v>
      </c>
      <c r="E72" s="16" t="n">
        <v>13264</v>
      </c>
      <c r="F72" s="17" t="s">
        <v>149</v>
      </c>
      <c r="G72" s="10" t="str">
        <f aca="false">IF(ISNUMBER(SEARCH("Σύνολο Χώρας",A72)),"Country Total",IF(ISNUMBER(SEARCH("ΠΕΡΙΦΕΡΕΙΑΚΗ ΕΝΟΤΗΤΑ",A72)),"Regional Unit",IF(ISNUMBER(SEARCH("ΠΕΡΙΦΕΡΕΙΑ",A72)),"Region","Check text")))</f>
        <v>Regional Unit</v>
      </c>
      <c r="H72" s="11" t="n">
        <v>45658</v>
      </c>
    </row>
    <row r="73" customFormat="false" ht="14.4" hidden="false" customHeight="false" outlineLevel="0" collapsed="false">
      <c r="A73" s="18" t="s">
        <v>150</v>
      </c>
      <c r="B73" s="16" t="n">
        <v>22</v>
      </c>
      <c r="C73" s="16" t="n">
        <v>30</v>
      </c>
      <c r="D73" s="16" t="n">
        <v>15465</v>
      </c>
      <c r="E73" s="16" t="n">
        <v>4512</v>
      </c>
      <c r="F73" s="17" t="s">
        <v>151</v>
      </c>
      <c r="G73" s="10" t="str">
        <f aca="false">IF(ISNUMBER(SEARCH("Σύνολο Χώρας",A73)),"Country Total",IF(ISNUMBER(SEARCH("ΠΕΡΙΦΕΡΕΙΑΚΗ ΕΝΟΤΗΤΑ",A73)),"Regional Unit",IF(ISNUMBER(SEARCH("ΠΕΡΙΦΕΡΕΙΑ",A73)),"Region","Check text")))</f>
        <v>Regional Unit</v>
      </c>
      <c r="H73" s="11" t="n">
        <v>45658</v>
      </c>
    </row>
    <row r="74" customFormat="false" ht="14.4" hidden="false" customHeight="false" outlineLevel="0" collapsed="false">
      <c r="A74" s="18" t="s">
        <v>152</v>
      </c>
      <c r="B74" s="16" t="n">
        <v>195</v>
      </c>
      <c r="C74" s="16" t="n">
        <v>260</v>
      </c>
      <c r="D74" s="16" t="n">
        <v>180283</v>
      </c>
      <c r="E74" s="16" t="n">
        <v>53004</v>
      </c>
      <c r="F74" s="17" t="s">
        <v>153</v>
      </c>
      <c r="G74" s="10" t="str">
        <f aca="false">IF(ISNUMBER(SEARCH("Σύνολο Χώρας",A74)),"Country Total",IF(ISNUMBER(SEARCH("ΠΕΡΙΦΕΡΕΙΑΚΗ ΕΝΟΤΗΤΑ",A74)),"Regional Unit",IF(ISNUMBER(SEARCH("ΠΕΡΙΦΕΡΕΙΑ",A74)),"Region","Check text")))</f>
        <v>Regional Unit</v>
      </c>
      <c r="H74" s="11" t="n">
        <v>45658</v>
      </c>
    </row>
    <row r="75" customFormat="false" ht="14.4" hidden="false" customHeight="false" outlineLevel="0" collapsed="false">
      <c r="A75" s="18" t="s">
        <v>154</v>
      </c>
      <c r="B75" s="16" t="n">
        <v>57</v>
      </c>
      <c r="C75" s="16" t="n">
        <v>90</v>
      </c>
      <c r="D75" s="16" t="n">
        <v>39365</v>
      </c>
      <c r="E75" s="16" t="n">
        <v>11782</v>
      </c>
      <c r="F75" s="17" t="s">
        <v>155</v>
      </c>
      <c r="G75" s="10" t="str">
        <f aca="false">IF(ISNUMBER(SEARCH("Σύνολο Χώρας",A75)),"Country Total",IF(ISNUMBER(SEARCH("ΠΕΡΙΦΕΡΕΙΑΚΗ ΕΝΟΤΗΤΑ",A75)),"Regional Unit",IF(ISNUMBER(SEARCH("ΠΕΡΙΦΕΡΕΙΑ",A75)),"Region","Check text")))</f>
        <v>Regional Unit</v>
      </c>
      <c r="H75" s="11" t="n">
        <v>45658</v>
      </c>
    </row>
    <row r="76" customFormat="false" ht="14.25" hidden="false" customHeight="true" outlineLevel="0" collapsed="false">
      <c r="A76" s="18" t="s">
        <v>156</v>
      </c>
      <c r="B76" s="16" t="n">
        <v>19</v>
      </c>
      <c r="C76" s="16" t="n">
        <v>25</v>
      </c>
      <c r="D76" s="16" t="n">
        <v>10991</v>
      </c>
      <c r="E76" s="16" t="n">
        <v>3150</v>
      </c>
      <c r="F76" s="17" t="s">
        <v>157</v>
      </c>
      <c r="G76" s="10" t="str">
        <f aca="false">IF(ISNUMBER(SEARCH("Σύνολο Χώρας",A76)),"Country Total",IF(ISNUMBER(SEARCH("ΠΕΡΙΦΕΡΕΙΑΚΗ ΕΝΟΤΗΤΑ",A76)),"Regional Unit",IF(ISNUMBER(SEARCH("ΠΕΡΙΦΕΡΕΙΑ",A76)),"Region","Check text")))</f>
        <v>Regional Unit</v>
      </c>
      <c r="H76" s="11" t="n">
        <v>45658</v>
      </c>
    </row>
    <row r="77" customFormat="false" ht="14.4" hidden="false" customHeight="true" outlineLevel="0" collapsed="false">
      <c r="A77" s="18" t="s">
        <v>158</v>
      </c>
      <c r="B77" s="16" t="n">
        <v>64</v>
      </c>
      <c r="C77" s="16" t="n">
        <v>85</v>
      </c>
      <c r="D77" s="16" t="n">
        <v>49217</v>
      </c>
      <c r="E77" s="16" t="n">
        <v>14264</v>
      </c>
      <c r="F77" s="17" t="s">
        <v>159</v>
      </c>
      <c r="G77" s="10" t="str">
        <f aca="false">IF(ISNUMBER(SEARCH("Σύνολο Χώρας",A77)),"Country Total",IF(ISNUMBER(SEARCH("ΠΕΡΙΦΕΡΕΙΑΚΗ ΕΝΟΤΗΤΑ",A77)),"Regional Unit",IF(ISNUMBER(SEARCH("ΠΕΡΙΦΕΡΕΙΑ",A77)),"Region","Check text")))</f>
        <v>Regional Unit</v>
      </c>
      <c r="H77" s="11" t="n">
        <v>45658</v>
      </c>
    </row>
    <row r="78" customFormat="false" ht="14.4" hidden="false" customHeight="true" outlineLevel="0" collapsed="false">
      <c r="A78" s="18" t="s">
        <v>160</v>
      </c>
      <c r="B78" s="16" t="n">
        <v>69</v>
      </c>
      <c r="C78" s="16" t="n">
        <v>119</v>
      </c>
      <c r="D78" s="16" t="n">
        <v>158976</v>
      </c>
      <c r="E78" s="16" t="n">
        <v>37830</v>
      </c>
      <c r="F78" s="17" t="s">
        <v>161</v>
      </c>
      <c r="G78" s="10" t="str">
        <f aca="false">IF(ISNUMBER(SEARCH("Σύνολο Χώρας",A78)),"Country Total",IF(ISNUMBER(SEARCH("ΠΕΡΙΦΕΡΕΙΑΚΗ ΕΝΟΤΗΤΑ",A78)),"Regional Unit",IF(ISNUMBER(SEARCH("ΠΕΡΙΦΕΡΕΙΑ",A78)),"Region","Check text")))</f>
        <v>Regional Unit</v>
      </c>
      <c r="H78" s="11" t="n">
        <v>45658</v>
      </c>
    </row>
    <row r="79" customFormat="false" ht="14.4" hidden="false" customHeight="true" outlineLevel="0" collapsed="false">
      <c r="A79" s="18" t="s">
        <v>162</v>
      </c>
      <c r="B79" s="16" t="n">
        <v>97</v>
      </c>
      <c r="C79" s="16" t="n">
        <v>145</v>
      </c>
      <c r="D79" s="16" t="n">
        <v>139693</v>
      </c>
      <c r="E79" s="16" t="n">
        <v>38446</v>
      </c>
      <c r="F79" s="17" t="s">
        <v>163</v>
      </c>
      <c r="G79" s="10" t="str">
        <f aca="false">IF(ISNUMBER(SEARCH("Σύνολο Χώρας",A79)),"Country Total",IF(ISNUMBER(SEARCH("ΠΕΡΙΦΕΡΕΙΑΚΗ ΕΝΟΤΗΤΑ",A79)),"Regional Unit",IF(ISNUMBER(SEARCH("ΠΕΡΙΦΕΡΕΙΑ",A79)),"Region","Check text")))</f>
        <v>Regional Unit</v>
      </c>
      <c r="H79" s="11" t="n">
        <v>45658</v>
      </c>
    </row>
    <row r="80" customFormat="false" ht="14.4" hidden="false" customHeight="true" outlineLevel="0" collapsed="false">
      <c r="A80" s="18" t="s">
        <v>164</v>
      </c>
      <c r="B80" s="16" t="n">
        <v>22</v>
      </c>
      <c r="C80" s="16" t="n">
        <v>42</v>
      </c>
      <c r="D80" s="16" t="n">
        <v>32681</v>
      </c>
      <c r="E80" s="16" t="n">
        <v>9461</v>
      </c>
      <c r="F80" s="17" t="s">
        <v>165</v>
      </c>
      <c r="G80" s="10" t="str">
        <f aca="false">IF(ISNUMBER(SEARCH("Σύνολο Χώρας",A80)),"Country Total",IF(ISNUMBER(SEARCH("ΠΕΡΙΦΕΡΕΙΑΚΗ ΕΝΟΤΗΤΑ",A80)),"Regional Unit",IF(ISNUMBER(SEARCH("ΠΕΡΙΦΕΡΕΙΑ",A80)),"Region","Check text")))</f>
        <v>Regional Unit</v>
      </c>
      <c r="H80" s="11" t="n">
        <v>45658</v>
      </c>
    </row>
    <row r="81" customFormat="false" ht="14.4" hidden="false" customHeight="true" outlineLevel="0" collapsed="false">
      <c r="A81" s="18" t="s">
        <v>166</v>
      </c>
      <c r="B81" s="16" t="n">
        <v>185</v>
      </c>
      <c r="C81" s="16" t="n">
        <v>313</v>
      </c>
      <c r="D81" s="16" t="n">
        <v>157904</v>
      </c>
      <c r="E81" s="16" t="n">
        <v>47148</v>
      </c>
      <c r="F81" s="17" t="s">
        <v>167</v>
      </c>
      <c r="G81" s="10" t="str">
        <f aca="false">IF(ISNUMBER(SEARCH("Σύνολο Χώρας",A81)),"Country Total",IF(ISNUMBER(SEARCH("ΠΕΡΙΦΕΡΕΙΑΚΗ ΕΝΟΤΗΤΑ",A81)),"Regional Unit",IF(ISNUMBER(SEARCH("ΠΕΡΙΦΕΡΕΙΑ",A81)),"Region","Check text")))</f>
        <v>Regional Unit</v>
      </c>
      <c r="H81" s="11" t="n">
        <v>45658</v>
      </c>
    </row>
    <row r="82" customFormat="false" ht="14.4" hidden="false" customHeight="true" outlineLevel="0" collapsed="false">
      <c r="A82" s="18" t="s">
        <v>168</v>
      </c>
      <c r="B82" s="16" t="n">
        <v>292</v>
      </c>
      <c r="C82" s="16" t="n">
        <v>403</v>
      </c>
      <c r="D82" s="16" t="n">
        <v>282247</v>
      </c>
      <c r="E82" s="16" t="n">
        <v>80689</v>
      </c>
      <c r="F82" s="17" t="s">
        <v>169</v>
      </c>
      <c r="G82" s="10" t="str">
        <f aca="false">IF(ISNUMBER(SEARCH("Σύνολο Χώρας",A82)),"Country Total",IF(ISNUMBER(SEARCH("ΠΕΡΙΦΕΡΕΙΑΚΗ ΕΝΟΤΗΤΑ",A82)),"Regional Unit",IF(ISNUMBER(SEARCH("ΠΕΡΙΦΕΡΕΙΑ",A82)),"Region","Check text")))</f>
        <v>Regional Unit</v>
      </c>
      <c r="H82" s="11" t="n">
        <v>45658</v>
      </c>
    </row>
    <row r="83" customFormat="false" ht="14.4" hidden="false" customHeight="true" outlineLevel="0" collapsed="false">
      <c r="A83" s="18" t="s">
        <v>170</v>
      </c>
      <c r="B83" s="16" t="n">
        <v>179</v>
      </c>
      <c r="C83" s="16" t="n">
        <v>322</v>
      </c>
      <c r="D83" s="16" t="n">
        <v>232215</v>
      </c>
      <c r="E83" s="16" t="n">
        <v>58114</v>
      </c>
      <c r="F83" s="17" t="s">
        <v>171</v>
      </c>
      <c r="G83" s="10" t="str">
        <f aca="false">IF(ISNUMBER(SEARCH("Σύνολο Χώρας",A83)),"Country Total",IF(ISNUMBER(SEARCH("ΠΕΡΙΦΕΡΕΙΑΚΗ ΕΝΟΤΗΤΑ",A83)),"Regional Unit",IF(ISNUMBER(SEARCH("ΠΕΡΙΦΕΡΕΙΑ",A83)),"Region","Check text")))</f>
        <v>Regional Unit</v>
      </c>
      <c r="H83" s="11" t="n">
        <v>45658</v>
      </c>
    </row>
    <row r="84" customFormat="false" ht="14.4" hidden="false" customHeight="true" outlineLevel="0" collapsed="false">
      <c r="A84" s="18" t="s">
        <v>172</v>
      </c>
      <c r="B84" s="16" t="n">
        <v>67</v>
      </c>
      <c r="C84" s="16" t="n">
        <v>98</v>
      </c>
      <c r="D84" s="16" t="n">
        <v>58149</v>
      </c>
      <c r="E84" s="16" t="n">
        <v>16879</v>
      </c>
      <c r="F84" s="17" t="s">
        <v>173</v>
      </c>
      <c r="G84" s="10" t="str">
        <f aca="false">IF(ISNUMBER(SEARCH("Σύνολο Χώρας",A84)),"Country Total",IF(ISNUMBER(SEARCH("ΠΕΡΙΦΕΡΕΙΑΚΗ ΕΝΟΤΗΤΑ",A84)),"Regional Unit",IF(ISNUMBER(SEARCH("ΠΕΡΙΦΕΡΕΙΑ",A84)),"Region","Check text")))</f>
        <v>Regional Unit</v>
      </c>
      <c r="H84" s="11" t="n">
        <v>45658</v>
      </c>
    </row>
    <row r="85" customFormat="false" ht="14.4" hidden="false" customHeight="true" outlineLevel="0" collapsed="false">
      <c r="A85" s="19" t="s">
        <v>174</v>
      </c>
      <c r="B85" s="13" t="n">
        <v>1509</v>
      </c>
      <c r="C85" s="13" t="n">
        <v>2656</v>
      </c>
      <c r="D85" s="13" t="n">
        <v>1673408</v>
      </c>
      <c r="E85" s="13" t="n">
        <v>446073</v>
      </c>
      <c r="F85" s="14" t="s">
        <v>175</v>
      </c>
      <c r="G85" s="10" t="str">
        <f aca="false">IF(ISNUMBER(SEARCH("Σύνολο Χώρας",A85)),"Country Total",IF(ISNUMBER(SEARCH("ΠΕΡΙΦΕΡΕΙΑΚΗ ΕΝΟΤΗΤΑ",A85)),"Regional Unit",IF(ISNUMBER(SEARCH("ΠΕΡΙΦΕΡΕΙΑ",A85)),"Region","Check text")))</f>
        <v>Region</v>
      </c>
      <c r="H85" s="11" t="n">
        <v>45658</v>
      </c>
    </row>
    <row r="86" customFormat="false" ht="14.4" hidden="false" customHeight="true" outlineLevel="0" collapsed="false">
      <c r="A86" s="18" t="s">
        <v>176</v>
      </c>
      <c r="B86" s="16" t="n">
        <v>530</v>
      </c>
      <c r="C86" s="16" t="n">
        <v>964</v>
      </c>
      <c r="D86" s="16" t="n">
        <v>574198</v>
      </c>
      <c r="E86" s="16" t="n">
        <v>152092</v>
      </c>
      <c r="F86" s="17" t="s">
        <v>177</v>
      </c>
      <c r="G86" s="10" t="str">
        <f aca="false">IF(ISNUMBER(SEARCH("Σύνολο Χώρας",A86)),"Country Total",IF(ISNUMBER(SEARCH("ΠΕΡΙΦΕΡΕΙΑΚΗ ΕΝΟΤΗΤΑ",A86)),"Regional Unit",IF(ISNUMBER(SEARCH("ΠΕΡΙΦΕΡΕΙΑ",A86)),"Region","Check text")))</f>
        <v>Regional Unit</v>
      </c>
      <c r="H86" s="11" t="n">
        <v>45658</v>
      </c>
    </row>
    <row r="87" customFormat="false" ht="14.4" hidden="false" customHeight="true" outlineLevel="0" collapsed="false">
      <c r="A87" s="18" t="s">
        <v>178</v>
      </c>
      <c r="B87" s="16" t="n">
        <v>122</v>
      </c>
      <c r="C87" s="16" t="n">
        <v>219</v>
      </c>
      <c r="D87" s="16" t="n">
        <v>111514</v>
      </c>
      <c r="E87" s="16" t="n">
        <v>29240</v>
      </c>
      <c r="F87" s="17" t="s">
        <v>179</v>
      </c>
      <c r="G87" s="10" t="str">
        <f aca="false">IF(ISNUMBER(SEARCH("Σύνολο Χώρας",A87)),"Country Total",IF(ISNUMBER(SEARCH("ΠΕΡΙΦΕΡΕΙΑΚΗ ΕΝΟΤΗΤΑ",A87)),"Regional Unit",IF(ISNUMBER(SEARCH("ΠΕΡΙΦΕΡΕΙΑ",A87)),"Region","Check text")))</f>
        <v>Regional Unit</v>
      </c>
      <c r="H87" s="11" t="n">
        <v>45658</v>
      </c>
    </row>
    <row r="88" customFormat="false" ht="14.4" hidden="false" customHeight="false" outlineLevel="0" collapsed="false">
      <c r="A88" s="18" t="s">
        <v>180</v>
      </c>
      <c r="B88" s="16" t="n">
        <v>282</v>
      </c>
      <c r="C88" s="16" t="n">
        <v>451</v>
      </c>
      <c r="D88" s="16" t="n">
        <v>348919</v>
      </c>
      <c r="E88" s="16" t="n">
        <v>88861</v>
      </c>
      <c r="F88" s="17" t="s">
        <v>181</v>
      </c>
      <c r="G88" s="10" t="str">
        <f aca="false">IF(ISNUMBER(SEARCH("Σύνολο Χώρας",A88)),"Country Total",IF(ISNUMBER(SEARCH("ΠΕΡΙΦΕΡΕΙΑΚΗ ΕΝΟΤΗΤΑ",A88)),"Regional Unit",IF(ISNUMBER(SEARCH("ΠΕΡΙΦΕΡΕΙΑ",A88)),"Region","Check text")))</f>
        <v>Regional Unit</v>
      </c>
      <c r="H88" s="11" t="n">
        <v>45658</v>
      </c>
    </row>
    <row r="89" customFormat="false" ht="14.4" hidden="false" customHeight="false" outlineLevel="0" collapsed="false">
      <c r="A89" s="18" t="s">
        <v>182</v>
      </c>
      <c r="B89" s="16" t="n">
        <v>575</v>
      </c>
      <c r="C89" s="16" t="n">
        <v>1022</v>
      </c>
      <c r="D89" s="16" t="n">
        <v>638777</v>
      </c>
      <c r="E89" s="16" t="n">
        <v>175880</v>
      </c>
      <c r="F89" s="17" t="s">
        <v>183</v>
      </c>
      <c r="G89" s="10" t="str">
        <f aca="false">IF(ISNUMBER(SEARCH("Σύνολο Χώρας",A89)),"Country Total",IF(ISNUMBER(SEARCH("ΠΕΡΙΦΕΡΕΙΑΚΗ ΕΝΟΤΗΤΑ",A89)),"Regional Unit",IF(ISNUMBER(SEARCH("ΠΕΡΙΦΕΡΕΙΑ",A89)),"Region","Check text")))</f>
        <v>Regional Unit</v>
      </c>
      <c r="H89" s="11" t="n">
        <v>45658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39375" right="0.354166666666667" top="0.39375" bottom="0.393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1" width="47.43"/>
  </cols>
  <sheetData>
    <row r="1" customFormat="false" ht="46.25" hidden="false" customHeight="false" outlineLevel="0" collapsed="false">
      <c r="A1" s="20" t="s">
        <v>184</v>
      </c>
      <c r="B1" s="21" t="s">
        <v>185</v>
      </c>
      <c r="C1" s="21" t="s">
        <v>186</v>
      </c>
      <c r="D1" s="21" t="s">
        <v>187</v>
      </c>
      <c r="E1" s="21" t="s">
        <v>188</v>
      </c>
    </row>
    <row r="2" customFormat="false" ht="14.4" hidden="false" customHeight="false" outlineLevel="0" collapsed="false">
      <c r="A2" s="22" t="s">
        <v>8</v>
      </c>
      <c r="B2" s="23" t="n">
        <f aca="false">ΠΙΝ1!B2-SUMIF(ΠΙΝ1!$A3:$A89,"ΠΕΡΙΦΕΡΕΙΑ "&amp;"*",ΠΙΝ1!B3:B89)</f>
        <v>0</v>
      </c>
      <c r="C2" s="23" t="n">
        <f aca="false">ΠΙΝ1!C2-SUMIF(ΠΙΝ1!$A3:$A89,"ΠΕΡΙΦΕΡΕΙΑ "&amp;"*",ΠΙΝ1!C3:C89)</f>
        <v>0</v>
      </c>
      <c r="D2" s="23" t="n">
        <f aca="false">ΠΙΝ1!D2-SUMIF(ΠΙΝ1!$A3:$A89,"ΠΕΡΙΦΕΡΕΙΑ "&amp;"*",ΠΙΝ1!D3:D89)</f>
        <v>0</v>
      </c>
      <c r="E2" s="23" t="n">
        <f aca="false">ΠΙΝ1!E2-SUMIF(ΠΙΝ1!$A3:$A89,"ΠΕΡΙΦΕΡΕΙΑ "&amp;"*",ΠΙΝ1!E3:E89)</f>
        <v>0</v>
      </c>
    </row>
    <row r="3" customFormat="false" ht="14.4" hidden="false" customHeight="false" outlineLevel="0" collapsed="false">
      <c r="A3" s="24" t="s">
        <v>10</v>
      </c>
      <c r="B3" s="23" t="n">
        <f aca="false">ΠΙΝ1!B3-SUM(ΠΙΝ1!B4:B11)</f>
        <v>0</v>
      </c>
      <c r="C3" s="23" t="n">
        <f aca="false">ΠΙΝ1!C3-SUM(ΠΙΝ1!C4:C11)</f>
        <v>0</v>
      </c>
      <c r="D3" s="23" t="n">
        <f aca="false">ΠΙΝ1!D3-SUM(ΠΙΝ1!D4:D11)</f>
        <v>0</v>
      </c>
      <c r="E3" s="23" t="n">
        <f aca="false">ΠΙΝ1!E3-SUM(ΠΙΝ1!E4:E11)</f>
        <v>0</v>
      </c>
    </row>
    <row r="4" customFormat="false" ht="14.4" hidden="false" customHeight="false" outlineLevel="0" collapsed="false">
      <c r="A4" s="25" t="s">
        <v>28</v>
      </c>
      <c r="B4" s="23" t="n">
        <f aca="false">ΠΙΝ1!B12-SUM(ΠΙΝ1!B13:B18)</f>
        <v>0</v>
      </c>
      <c r="C4" s="23" t="n">
        <f aca="false">ΠΙΝ1!C12-SUM(ΠΙΝ1!C13:C18)</f>
        <v>0</v>
      </c>
      <c r="D4" s="23" t="n">
        <f aca="false">ΠΙΝ1!D12-SUM(ΠΙΝ1!D13:D18)</f>
        <v>0</v>
      </c>
      <c r="E4" s="23" t="n">
        <f aca="false">ΠΙΝ1!E12-SUM(ΠΙΝ1!E13:E18)</f>
        <v>0</v>
      </c>
    </row>
    <row r="5" customFormat="false" ht="14.4" hidden="false" customHeight="false" outlineLevel="0" collapsed="false">
      <c r="A5" s="25" t="s">
        <v>42</v>
      </c>
      <c r="B5" s="23" t="n">
        <f aca="false">ΠΙΝ1!B19-SUM(ΠΙΝ1!B20:B26)</f>
        <v>0</v>
      </c>
      <c r="C5" s="23" t="n">
        <f aca="false">ΠΙΝ1!C19-SUM(ΠΙΝ1!C20:C26)</f>
        <v>0</v>
      </c>
      <c r="D5" s="23" t="n">
        <f aca="false">ΠΙΝ1!D19-SUM(ΠΙΝ1!D20:D26)</f>
        <v>0</v>
      </c>
      <c r="E5" s="23" t="n">
        <f aca="false">ΠΙΝ1!E19-SUM(ΠΙΝ1!E20:E26)</f>
        <v>0</v>
      </c>
    </row>
    <row r="6" customFormat="false" ht="14.4" hidden="false" customHeight="false" outlineLevel="0" collapsed="false">
      <c r="A6" s="25" t="s">
        <v>58</v>
      </c>
      <c r="B6" s="23" t="n">
        <f aca="false">ΠΙΝ1!B27-SUM(ΠΙΝ1!B28:B31)</f>
        <v>0</v>
      </c>
      <c r="C6" s="23" t="n">
        <f aca="false">ΠΙΝ1!C27-SUM(ΠΙΝ1!C28:C31)</f>
        <v>0</v>
      </c>
      <c r="D6" s="23" t="n">
        <f aca="false">ΠΙΝ1!D27-SUM(ΠΙΝ1!D28:D31)</f>
        <v>0</v>
      </c>
      <c r="E6" s="23" t="n">
        <f aca="false">ΠΙΝ1!E27-SUM(ΠΙΝ1!E28:E31)</f>
        <v>0</v>
      </c>
    </row>
    <row r="7" customFormat="false" ht="14.4" hidden="false" customHeight="false" outlineLevel="0" collapsed="false">
      <c r="A7" s="25" t="s">
        <v>68</v>
      </c>
      <c r="B7" s="23" t="n">
        <f aca="false">ΠΙΝ1!B32-SUM(ΠΙΝ1!B33:B36)</f>
        <v>0</v>
      </c>
      <c r="C7" s="23" t="n">
        <f aca="false">ΠΙΝ1!C32-SUM(ΠΙΝ1!C33:C36)</f>
        <v>0</v>
      </c>
      <c r="D7" s="23" t="n">
        <f aca="false">ΠΙΝ1!D32-SUM(ΠΙΝ1!D33:D36)</f>
        <v>0</v>
      </c>
      <c r="E7" s="23" t="n">
        <f aca="false">ΠΙΝ1!E32-SUM(ΠΙΝ1!E33:E36)</f>
        <v>0</v>
      </c>
    </row>
    <row r="8" customFormat="false" ht="14.4" hidden="false" customHeight="false" outlineLevel="0" collapsed="false">
      <c r="A8" s="25" t="s">
        <v>78</v>
      </c>
      <c r="B8" s="23" t="n">
        <f aca="false">ΠΙΝ1!B37-SUM(ΠΙΝ1!B38:B42)</f>
        <v>0</v>
      </c>
      <c r="C8" s="23" t="n">
        <f aca="false">ΠΙΝ1!C37-SUM(ΠΙΝ1!C38:C42)</f>
        <v>0</v>
      </c>
      <c r="D8" s="23" t="n">
        <f aca="false">ΠΙΝ1!D37-SUM(ΠΙΝ1!D38:D42)</f>
        <v>0</v>
      </c>
      <c r="E8" s="23" t="n">
        <f aca="false">ΠΙΝ1!E37-SUM(ΠΙΝ1!E38:E42)</f>
        <v>0</v>
      </c>
    </row>
    <row r="9" customFormat="false" ht="14.4" hidden="false" customHeight="false" outlineLevel="0" collapsed="false">
      <c r="A9" s="25" t="s">
        <v>90</v>
      </c>
      <c r="B9" s="23" t="n">
        <f aca="false">ΠΙΝ1!B43-SUM(ΠΙΝ1!B44:B48)</f>
        <v>0</v>
      </c>
      <c r="C9" s="23" t="n">
        <f aca="false">ΠΙΝ1!C43-SUM(ΠΙΝ1!C44:C48)</f>
        <v>0</v>
      </c>
      <c r="D9" s="23" t="n">
        <f aca="false">ΠΙΝ1!D43-SUM(ΠΙΝ1!D44:D48)</f>
        <v>0</v>
      </c>
      <c r="E9" s="23" t="n">
        <f aca="false">ΠΙΝ1!E43-SUM(ΠΙΝ1!E44:E48)</f>
        <v>0</v>
      </c>
    </row>
    <row r="10" customFormat="false" ht="14.4" hidden="false" customHeight="false" outlineLevel="0" collapsed="false">
      <c r="A10" s="25" t="s">
        <v>102</v>
      </c>
      <c r="B10" s="23" t="n">
        <f aca="false">ΠΙΝ1!B49-SUM(ΠΙΝ1!B50:B54)</f>
        <v>0</v>
      </c>
      <c r="C10" s="23" t="n">
        <f aca="false">ΠΙΝ1!C49-SUM(ΠΙΝ1!C50:C54)</f>
        <v>0</v>
      </c>
      <c r="D10" s="23" t="n">
        <f aca="false">ΠΙΝ1!D49-SUM(ΠΙΝ1!D50:D54)</f>
        <v>0</v>
      </c>
      <c r="E10" s="23" t="n">
        <f aca="false">ΠΙΝ1!E49-SUM(ΠΙΝ1!E50:E54)</f>
        <v>0</v>
      </c>
    </row>
    <row r="11" customFormat="false" ht="14.4" hidden="false" customHeight="false" outlineLevel="0" collapsed="false">
      <c r="A11" s="25" t="s">
        <v>114</v>
      </c>
      <c r="B11" s="23" t="n">
        <f aca="false">ΠΙΝ1!B55-SUM(ΠΙΝ1!B56:B58)</f>
        <v>0</v>
      </c>
      <c r="C11" s="23" t="n">
        <f aca="false">ΠΙΝ1!C55-SUM(ΠΙΝ1!C56:C58)</f>
        <v>0</v>
      </c>
      <c r="D11" s="23" t="n">
        <f aca="false">ΠΙΝ1!D55-SUM(ΠΙΝ1!D56:D58)</f>
        <v>0</v>
      </c>
      <c r="E11" s="23" t="n">
        <f aca="false">ΠΙΝ1!E55-SUM(ΠΙΝ1!E56:E58)</f>
        <v>0</v>
      </c>
    </row>
    <row r="12" customFormat="false" ht="14.4" hidden="false" customHeight="false" outlineLevel="0" collapsed="false">
      <c r="A12" s="25" t="s">
        <v>122</v>
      </c>
      <c r="B12" s="23" t="n">
        <f aca="false">ΠΙΝ1!B59-SUM(ΠΙΝ1!B60:B64)</f>
        <v>0</v>
      </c>
      <c r="C12" s="23" t="n">
        <f aca="false">ΠΙΝ1!C59-SUM(ΠΙΝ1!C60:C64)</f>
        <v>0</v>
      </c>
      <c r="D12" s="23" t="n">
        <f aca="false">ΠΙΝ1!D59-SUM(ΠΙΝ1!D60:D64)</f>
        <v>0</v>
      </c>
      <c r="E12" s="23" t="n">
        <f aca="false">ΠΙΝ1!E59-SUM(ΠΙΝ1!E60:E64)</f>
        <v>0</v>
      </c>
    </row>
    <row r="13" customFormat="false" ht="14.4" hidden="false" customHeight="false" outlineLevel="0" collapsed="false">
      <c r="A13" s="25" t="s">
        <v>134</v>
      </c>
      <c r="B13" s="23" t="n">
        <f aca="false">ΠΙΝ1!B65-SUM(ΠΙΝ1!B66:B70)</f>
        <v>0</v>
      </c>
      <c r="C13" s="23" t="n">
        <f aca="false">ΠΙΝ1!C65-SUM(ΠΙΝ1!C66:C70)</f>
        <v>0</v>
      </c>
      <c r="D13" s="23" t="n">
        <f aca="false">ΠΙΝ1!D65-SUM(ΠΙΝ1!D66:D70)</f>
        <v>0</v>
      </c>
      <c r="E13" s="23" t="n">
        <f aca="false">ΠΙΝ1!E65-SUM(ΠΙΝ1!E66:E70)</f>
        <v>0</v>
      </c>
    </row>
    <row r="14" customFormat="false" ht="14.4" hidden="false" customHeight="false" outlineLevel="0" collapsed="false">
      <c r="A14" s="25" t="s">
        <v>146</v>
      </c>
      <c r="B14" s="23" t="n">
        <f aca="false">ΠΙΝ1!B71-SUM(ΠΙΝ1!B72:B84)</f>
        <v>0</v>
      </c>
      <c r="C14" s="23" t="n">
        <f aca="false">ΠΙΝ1!C71-SUM(ΠΙΝ1!C72:C84)</f>
        <v>0</v>
      </c>
      <c r="D14" s="23" t="n">
        <f aca="false">ΠΙΝ1!D71-SUM(ΠΙΝ1!D72:D84)</f>
        <v>0</v>
      </c>
      <c r="E14" s="23" t="n">
        <f aca="false">ΠΙΝ1!E71-SUM(ΠΙΝ1!E72:E84)</f>
        <v>0</v>
      </c>
    </row>
    <row r="15" customFormat="false" ht="14.4" hidden="false" customHeight="false" outlineLevel="0" collapsed="false">
      <c r="A15" s="25" t="s">
        <v>174</v>
      </c>
      <c r="B15" s="23" t="n">
        <f aca="false">ΠΙΝ1!B85-SUM(ΠΙΝ1!B86:B89)</f>
        <v>0</v>
      </c>
      <c r="C15" s="23" t="n">
        <f aca="false">ΠΙΝ1!C85-SUM(ΠΙΝ1!C86:C89)</f>
        <v>0</v>
      </c>
      <c r="D15" s="23" t="n">
        <f aca="false">ΠΙΝ1!D85-SUM(ΠΙΝ1!D86:D89)</f>
        <v>0</v>
      </c>
      <c r="E15" s="23" t="n">
        <f aca="false">ΠΙΝ1!E85-SUM(ΠΙΝ1!E86:E89)</f>
        <v>0</v>
      </c>
    </row>
  </sheetData>
  <autoFilter ref="B1:E1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2021-12-03T16:27:05Z</dcterms:created>
  <dc:creator>Stamou Despoina</dc:creator>
  <dc:description/>
  <dc:language>en-US</dc:language>
  <cp:lastModifiedBy/>
  <cp:lastPrinted>2022-01-04T20:47:14Z</cp:lastPrinted>
  <dcterms:modified xsi:type="dcterms:W3CDTF">2026-10-26T18:07:37Z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